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jp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hp\Desktop\projects\BEATRICE\"/>
    </mc:Choice>
  </mc:AlternateContent>
  <bookViews>
    <workbookView xWindow="0" yWindow="0" windowWidth="0" windowHeight="0"/>
  </bookViews>
  <sheets>
    <sheet name="组价汇总表" sheetId="6" r:id="rId1"/>
    <sheet name="Sheet1" sheetId="1" r:id="rId2"/>
    <sheet name="SD-1" sheetId="2" r:id="rId3"/>
    <sheet name="SD-2" sheetId="3" r:id="rId4"/>
    <sheet name="SD-3" sheetId="4" r:id="rId5"/>
    <sheet name="SD-4" sheetId="5" r:id="rId6"/>
  </sheets>
  <definedNames>
    <definedName name="单樘价">'SD-1'!$H$10</definedName>
    <definedName name="综合单价">'SD-1'!$F$14</definedName>
    <definedName name="总价">'SD-1'!$H$14</definedName>
    <definedName name="单樘价" localSheetId="3">'SD-2'!$H$10</definedName>
    <definedName name="综合单价" localSheetId="3">'SD-2'!$F$14</definedName>
    <definedName name="总价" localSheetId="3">'SD-2'!$H$14</definedName>
    <definedName name="单樘价" localSheetId="4">'SD-3'!$H$10</definedName>
    <definedName name="综合单价" localSheetId="4">'SD-3'!$F$14</definedName>
    <definedName name="总价" localSheetId="4">'SD-3'!$H$14</definedName>
    <definedName name="单樘价" localSheetId="5">'SD-4'!$H$10</definedName>
    <definedName name="综合单价" localSheetId="5">'SD-4'!$F$14</definedName>
    <definedName name="总价" localSheetId="5">'SD-4'!$H$14</definedName>
  </definedNames>
  <calcPr/>
</workbook>
</file>

<file path=xl/calcChain.xml><?xml version="1.0" encoding="utf-8"?>
<calcChain xmlns="http://schemas.openxmlformats.org/spreadsheetml/2006/main">
  <c i="6" l="1" r="L9"/>
  <c r="K9"/>
  <c r="J9"/>
  <c r="H9"/>
  <c r="I5"/>
  <c r="M5"/>
  <c r="N5"/>
  <c r="O5"/>
  <c r="I6"/>
  <c r="M6"/>
  <c r="N6"/>
  <c r="O6"/>
  <c r="I7"/>
  <c r="M7"/>
  <c r="N7"/>
  <c r="O7"/>
  <c r="I8"/>
  <c r="M8"/>
  <c r="N8"/>
  <c r="O8"/>
  <c i="5" r="G27"/>
  <c r="G28"/>
  <c r="G31"/>
  <c r="G32"/>
  <c r="G29"/>
  <c r="G24"/>
  <c r="G23"/>
  <c r="G20"/>
  <c r="G18"/>
  <c r="H7"/>
  <c r="C35"/>
  <c r="G35"/>
  <c i="4" r="G27"/>
  <c r="G28"/>
  <c r="G31"/>
  <c r="G32"/>
  <c r="G29"/>
  <c r="G24"/>
  <c r="G23"/>
  <c r="G20"/>
  <c r="G18"/>
  <c r="H7"/>
  <c r="C35"/>
  <c r="G35"/>
  <c i="3" r="G27"/>
  <c r="G28"/>
  <c r="G31"/>
  <c r="G29"/>
  <c r="G24"/>
  <c r="G23"/>
  <c r="G18"/>
  <c r="G20"/>
  <c r="H7"/>
  <c r="C37"/>
  <c r="G37"/>
  <c i="2" r="G27"/>
  <c r="G28"/>
  <c r="G29"/>
  <c r="G31"/>
  <c r="G32"/>
  <c r="G23"/>
  <c r="G24"/>
  <c r="G18"/>
  <c r="G20"/>
  <c r="H7"/>
  <c r="C37"/>
  <c r="G37"/>
  <c i="6" l="1" r="I9"/>
  <c r="O9"/>
  <c i="3" r="G32"/>
  <c r="C36"/>
  <c r="G36"/>
  <c r="C35"/>
  <c r="G35"/>
  <c i="5" r="C37"/>
  <c r="G37"/>
  <c i="2" r="C36"/>
  <c r="G36"/>
  <c r="C35"/>
  <c r="G35"/>
  <c i="5" r="C36"/>
  <c r="G36"/>
  <c i="4" r="C37"/>
  <c r="G37"/>
  <c r="C36"/>
  <c r="G36"/>
  <c i="3" l="1" r="G38"/>
  <c r="G39"/>
  <c r="G41"/>
  <c i="4" r="G38"/>
  <c r="G39"/>
  <c r="G41"/>
  <c i="5" r="G38"/>
  <c r="G39"/>
  <c r="G41"/>
  <c i="2" r="G38"/>
  <c r="G39"/>
  <c i="3" l="1" r="G42"/>
  <c r="G43"/>
  <c i="2" r="G41"/>
  <c i="5" r="G42"/>
  <c r="G43"/>
  <c r="G45"/>
  <c i="2" r="G42"/>
  <c i="4" r="G42"/>
  <c r="G43"/>
  <c i="2" l="1" r="G43"/>
  <c i="5" r="G46"/>
  <c r="G47"/>
  <c r="G48"/>
  <c r="H14"/>
  <c r="H10"/>
  <c i="4" r="G45"/>
  <c r="G47"/>
  <c r="G48"/>
  <c r="H14"/>
  <c r="H10"/>
  <c i="3" r="G45"/>
  <c r="G47"/>
  <c r="G48"/>
  <c r="H14"/>
  <c r="H10"/>
  <c r="G46"/>
  <c i="4" r="G46"/>
  <c l="1" r="F14"/>
  <c i="5" r="F14"/>
  <c i="2" r="G45"/>
  <c i="3" r="F14"/>
  <c i="2" l="1" r="G46"/>
  <c r="G47"/>
  <c r="G48"/>
  <c r="H14"/>
  <c r="H10"/>
  <c l="1" r="F14"/>
</calcChain>
</file>

<file path=xl/sharedStrings.xml><?xml version="1.0" encoding="utf-8"?>
<sst xmlns="http://schemas.openxmlformats.org/spreadsheetml/2006/main">
  <si>
    <t>BEATRICE-组价汇总表W &amp; D Costing Statement</t>
  </si>
  <si>
    <t>No.</t>
  </si>
  <si>
    <t>SERIS</t>
  </si>
  <si>
    <t xml:space="preserve">CODE </t>
  </si>
  <si>
    <t>PICTURE</t>
  </si>
  <si>
    <t>Width
（mm）</t>
  </si>
  <si>
    <t>Height
（mm）</t>
  </si>
  <si>
    <t xml:space="preserve">Sqm/Pcs
</t>
  </si>
  <si>
    <t>QTY
（Pcs）</t>
  </si>
  <si>
    <t>Total Sqm
（Sqm）</t>
  </si>
  <si>
    <t>Material Cost
（Usd）</t>
  </si>
  <si>
    <t>Glass Cost
（Usd）</t>
  </si>
  <si>
    <t>Hardware Cost
（Usd）</t>
  </si>
  <si>
    <t xml:space="preserve">Price  （Usd/SQM）</t>
  </si>
  <si>
    <t>Price
（Usd/Pcs）</t>
  </si>
  <si>
    <t>Total Price
（Usd）</t>
  </si>
  <si>
    <t>1</t>
  </si>
  <si>
    <t>S90 Sliding 推拉门</t>
  </si>
  <si>
    <t>SD-1</t>
  </si>
  <si>
    <t/>
  </si>
  <si>
    <t>2</t>
  </si>
  <si>
    <t>SD-2</t>
  </si>
  <si>
    <t>3</t>
  </si>
  <si>
    <t>SD-3</t>
  </si>
  <si>
    <t>4</t>
  </si>
  <si>
    <t>SD-4</t>
  </si>
  <si>
    <t>合计</t>
  </si>
  <si>
    <t>BEATRICE-W&amp;D Cost-SD-1</t>
  </si>
  <si>
    <t>SERIS:</t>
  </si>
  <si>
    <t>CODE:</t>
  </si>
  <si>
    <t>QTY:</t>
  </si>
  <si>
    <t>SQM:</t>
  </si>
  <si>
    <t>3.05</t>
  </si>
  <si>
    <t>TOTAL SQM:</t>
  </si>
  <si>
    <t>IN COLOUR:</t>
  </si>
  <si>
    <t>深灰色</t>
  </si>
  <si>
    <t>OUT COLOUR:</t>
  </si>
  <si>
    <t>LOCATION:</t>
  </si>
  <si>
    <t>MARK:</t>
  </si>
  <si>
    <t>PRICE:</t>
  </si>
  <si>
    <t>USD/SQM</t>
  </si>
  <si>
    <t xml:space="preserve">Total Price </t>
  </si>
  <si>
    <t>一、DIRECT COST</t>
  </si>
  <si>
    <t>Aluminum Profile Cost</t>
  </si>
  <si>
    <t>Name</t>
  </si>
  <si>
    <t>Specification</t>
  </si>
  <si>
    <t>Weight</t>
  </si>
  <si>
    <t>损耗</t>
  </si>
  <si>
    <t>Unit</t>
  </si>
  <si>
    <t>Price</t>
  </si>
  <si>
    <t>MARK</t>
  </si>
  <si>
    <t>粉末喷涂铝型材</t>
  </si>
  <si>
    <t>14.32</t>
  </si>
  <si>
    <t>1.00</t>
  </si>
  <si>
    <t>KG</t>
  </si>
  <si>
    <t>7.00</t>
  </si>
  <si>
    <t>1.Total Cost:</t>
  </si>
  <si>
    <t>Glass ＆ Mesh Cost</t>
  </si>
  <si>
    <t>Qty</t>
  </si>
  <si>
    <t>Total Price</t>
  </si>
  <si>
    <t xml:space="preserve">MARK </t>
  </si>
  <si>
    <t>Reflective glass (6mm brown 镀膜棕玻)</t>
  </si>
  <si>
    <t>非钢化</t>
  </si>
  <si>
    <t>2.50</t>
  </si>
  <si>
    <t>㎡</t>
  </si>
  <si>
    <t>21.00</t>
  </si>
  <si>
    <t>2.Total Cost:</t>
  </si>
  <si>
    <t>Hardware Cost</t>
  </si>
  <si>
    <t>Cilicom玻璃胶(玻璃胶570g)</t>
  </si>
  <si>
    <t>2.00</t>
  </si>
  <si>
    <t>pcs</t>
  </si>
  <si>
    <t>3.80</t>
  </si>
  <si>
    <t>Lock 90 SD(90推拉门 一字勾锁 双面钩锁 1locks)</t>
  </si>
  <si>
    <t>套set</t>
  </si>
  <si>
    <t>3.90</t>
  </si>
  <si>
    <t>Roller 90 SD(90推拉门 双轮 2pcs)</t>
  </si>
  <si>
    <t>1.70</t>
  </si>
  <si>
    <t>3.Total Cost:</t>
  </si>
  <si>
    <t>Materials Total Cost：</t>
  </si>
  <si>
    <t>1+2+3</t>
  </si>
  <si>
    <t>二、LABOR COST</t>
  </si>
  <si>
    <t>Mark</t>
  </si>
  <si>
    <t>Fabrication Cost</t>
  </si>
  <si>
    <t>Installation Cost</t>
  </si>
  <si>
    <t>Machinery Depreciation</t>
  </si>
  <si>
    <t>4.Total Cost</t>
  </si>
  <si>
    <t>一、DIRECT COST TOTAL:</t>
  </si>
  <si>
    <t>1+2+3+4</t>
  </si>
  <si>
    <t>三、INDIRECT COST</t>
  </si>
  <si>
    <t>Management Cost</t>
  </si>
  <si>
    <t>（一）*10%</t>
  </si>
  <si>
    <t>Wastage cost</t>
  </si>
  <si>
    <t>(一）*12%</t>
  </si>
  <si>
    <t>四、其他</t>
  </si>
  <si>
    <t>三、Profit</t>
  </si>
  <si>
    <t>（（一）+（二））*20%</t>
  </si>
  <si>
    <t>四、VAT</t>
  </si>
  <si>
    <t>（（一）+（二）+（三））*16%</t>
  </si>
  <si>
    <t>五、Commission</t>
  </si>
  <si>
    <t>（（一）+（二）+（三）+（四））*2%</t>
  </si>
  <si>
    <t>Total Cost</t>
  </si>
  <si>
    <t>BEATRICE-W&amp;D Cost-SD-2</t>
  </si>
  <si>
    <t>5.3</t>
  </si>
  <si>
    <t>24.04</t>
  </si>
  <si>
    <t>4.40</t>
  </si>
  <si>
    <t>4.00</t>
  </si>
  <si>
    <t>BEATRICE-W&amp;D Cost-SD-3</t>
  </si>
  <si>
    <t>11.59</t>
  </si>
  <si>
    <t>38.48</t>
  </si>
  <si>
    <t>10.16</t>
  </si>
  <si>
    <t>BEATRICE-W&amp;D Cost-SD-4</t>
  </si>
  <si>
    <t>5.22</t>
  </si>
  <si>
    <t>23.59</t>
  </si>
  <si>
    <t>4.36</t>
  </si>
</sst>
</file>

<file path=xl/styles.xml><?xml version="1.0" encoding="utf-8"?>
<styleSheet xmlns="http://schemas.openxmlformats.org/spreadsheetml/2006/main">
  <fonts count="19">
    <font>
      <sz val="11"/>
      <name val="Calibri"/>
      <family val="2"/>
      <scheme val="minor"/>
    </font>
    <font>
      <b/>
      <sz val="11"/>
      <name val="宋体"/>
      <charset val="134"/>
      <scheme val="minor"/>
    </font>
    <font>
      <sz val="11"/>
      <name val="宋体"/>
      <scheme val="minor"/>
    </font>
    <font>
      <sz val="10"/>
      <name val="宋体"/>
      <charset val="134"/>
      <scheme val="minor"/>
    </font>
    <font>
      <sz val="9"/>
      <name val="宋体"/>
      <charset val="134"/>
    </font>
    <font>
      <b/>
      <sz val="11"/>
      <color rgb="FFFA7D00"/>
      <name val="宋体"/>
      <charset val="134"/>
    </font>
    <font>
      <b/>
      <sz val="9"/>
      <name val="宋体"/>
      <charset val="134"/>
    </font>
    <font>
      <b/>
      <sz val="16"/>
      <name val="宋体"/>
      <family val="3"/>
      <charset val="134"/>
      <scheme val="minor"/>
    </font>
    <font>
      <b/>
      <sz val="16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1"/>
      <color rgb="FFFA7D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BF1DD"/>
      </patternFill>
    </fill>
    <fill>
      <patternFill patternType="solid">
        <fgColor rgb="FFDBE5F1"/>
      </patternFill>
    </fill>
    <fill>
      <patternFill patternType="solid">
        <fgColor rgb="FFFFFF00"/>
        <bgColor indexed="64"/>
      </patternFill>
    </fill>
    <fill>
      <patternFill patternType="solid">
        <fgColor rgb="FFE5E0EC"/>
      </patternFill>
    </fill>
    <fill>
      <patternFill patternType="solid">
        <fgColor rgb="FFDBEEE3"/>
      </patternFill>
    </fill>
    <fill>
      <patternFill patternType="solid">
        <fgColor rgb="FFF2F2F2"/>
      </patternFill>
    </fill>
  </fills>
  <borders count="2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2">
    <xf numFmtId="0" fontId="0" fillId="0" borderId="0"/>
    <xf numFmtId="0" fontId="18" fillId="8" borderId="24" applyNumberFormat="0" applyAlignment="0" applyProtection="0"/>
  </cellStyleXfs>
  <cellXfs count="9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4" fontId="5" fillId="0" borderId="0" xfId="1" applyNumberFormat="1" applyFont="1" applyFill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10" fillId="0" borderId="5" xfId="0" applyNumberFormat="1" applyFont="1" applyBorder="1" applyAlignment="1">
      <alignment horizontal="center" vertical="center"/>
    </xf>
    <xf numFmtId="4" fontId="11" fillId="0" borderId="5" xfId="0" applyNumberFormat="1" applyFont="1" applyBorder="1" applyAlignment="1">
      <alignment horizontal="center" vertical="center"/>
    </xf>
    <xf numFmtId="4" fontId="10" fillId="0" borderId="5" xfId="0" applyNumberFormat="1" applyFont="1" applyBorder="1" applyAlignment="1">
      <alignment horizontal="left" vertical="center"/>
    </xf>
    <xf numFmtId="4" fontId="10" fillId="0" borderId="10" xfId="0" applyNumberFormat="1" applyFont="1" applyBorder="1" applyAlignment="1">
      <alignment horizontal="center" vertical="center"/>
    </xf>
    <xf numFmtId="4" fontId="12" fillId="0" borderId="10" xfId="0" applyNumberFormat="1" applyFont="1" applyBorder="1" applyAlignment="1">
      <alignment horizontal="center" vertical="center"/>
    </xf>
    <xf numFmtId="4" fontId="13" fillId="0" borderId="10" xfId="0" applyNumberFormat="1" applyFont="1" applyBorder="1" applyAlignment="1">
      <alignment horizontal="left" vertical="center"/>
    </xf>
    <xf numFmtId="4" fontId="11" fillId="2" borderId="11" xfId="0" applyNumberFormat="1" applyFont="1" applyFill="1" applyBorder="1" applyAlignment="1">
      <alignment horizontal="center" vertical="center"/>
    </xf>
    <xf numFmtId="4" fontId="11" fillId="2" borderId="12" xfId="0" applyNumberFormat="1" applyFont="1" applyFill="1" applyBorder="1" applyAlignment="1">
      <alignment horizontal="center" vertical="center"/>
    </xf>
    <xf numFmtId="4" fontId="11" fillId="2" borderId="13" xfId="0" applyNumberFormat="1" applyFont="1" applyFill="1" applyBorder="1" applyAlignment="1">
      <alignment horizontal="center" vertical="center"/>
    </xf>
    <xf numFmtId="4" fontId="14" fillId="0" borderId="14" xfId="0" applyNumberFormat="1" applyFont="1" applyBorder="1" applyAlignment="1">
      <alignment horizontal="left"/>
    </xf>
    <xf numFmtId="4" fontId="15" fillId="0" borderId="15" xfId="0" applyNumberFormat="1" applyFont="1" applyBorder="1" applyAlignment="1">
      <alignment horizontal="left"/>
    </xf>
    <xf numFmtId="4" fontId="15" fillId="0" borderId="16" xfId="0" applyNumberFormat="1" applyFont="1" applyBorder="1" applyAlignment="1">
      <alignment horizontal="left"/>
    </xf>
    <xf numFmtId="4" fontId="11" fillId="0" borderId="5" xfId="0" applyNumberFormat="1" applyFont="1" applyBorder="1" applyAlignment="1">
      <alignment horizontal="left" vertical="center"/>
    </xf>
    <xf numFmtId="2" fontId="10" fillId="0" borderId="5" xfId="0" applyNumberFormat="1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left" vertical="center"/>
    </xf>
    <xf numFmtId="4" fontId="12" fillId="3" borderId="5" xfId="0" applyNumberFormat="1" applyFont="1" applyFill="1" applyBorder="1" applyAlignment="1">
      <alignment horizontal="left" vertical="center"/>
    </xf>
    <xf numFmtId="4" fontId="13" fillId="3" borderId="17" xfId="0" applyNumberFormat="1" applyFont="1" applyFill="1" applyBorder="1" applyAlignment="1">
      <alignment horizontal="left" vertical="center"/>
    </xf>
    <xf numFmtId="4" fontId="13" fillId="3" borderId="18" xfId="0" applyNumberFormat="1" applyFont="1" applyFill="1" applyBorder="1" applyAlignment="1">
      <alignment horizontal="left" vertical="center"/>
    </xf>
    <xf numFmtId="4" fontId="13" fillId="3" borderId="5" xfId="0" applyNumberFormat="1" applyFont="1" applyFill="1" applyBorder="1" applyAlignment="1">
      <alignment horizontal="center" vertical="center"/>
    </xf>
    <xf numFmtId="4" fontId="11" fillId="0" borderId="19" xfId="0" applyNumberFormat="1" applyFont="1" applyBorder="1" applyAlignment="1">
      <alignment horizontal="left" vertical="center"/>
    </xf>
    <xf numFmtId="4" fontId="4" fillId="0" borderId="5" xfId="0" applyNumberFormat="1" applyFont="1" applyBorder="1" applyAlignment="1">
      <alignment horizontal="center" vertical="center"/>
    </xf>
    <xf numFmtId="4" fontId="13" fillId="3" borderId="18" xfId="0" applyNumberFormat="1" applyFont="1" applyFill="1" applyBorder="1" applyAlignment="1">
      <alignment horizontal="center" vertical="center"/>
    </xf>
    <xf numFmtId="4" fontId="10" fillId="3" borderId="5" xfId="0" applyNumberFormat="1" applyFont="1" applyFill="1" applyBorder="1" applyAlignment="1">
      <alignment horizontal="center" vertical="center"/>
    </xf>
    <xf numFmtId="4" fontId="12" fillId="4" borderId="14" xfId="0" applyNumberFormat="1" applyFont="1" applyFill="1" applyBorder="1" applyAlignment="1">
      <alignment horizontal="left" vertical="center"/>
    </xf>
    <xf numFmtId="4" fontId="13" fillId="4" borderId="20" xfId="0" applyNumberFormat="1" applyFont="1" applyFill="1" applyBorder="1" applyAlignment="1">
      <alignment horizontal="center" vertical="center"/>
    </xf>
    <xf numFmtId="4" fontId="13" fillId="4" borderId="17" xfId="0" applyNumberFormat="1" applyFont="1" applyFill="1" applyBorder="1" applyAlignment="1">
      <alignment horizontal="center" vertical="center"/>
    </xf>
    <xf numFmtId="4" fontId="13" fillId="4" borderId="18" xfId="0" applyNumberFormat="1" applyFont="1" applyFill="1" applyBorder="1" applyAlignment="1">
      <alignment horizontal="center" vertical="center"/>
    </xf>
    <xf numFmtId="4" fontId="13" fillId="4" borderId="5" xfId="0" applyNumberFormat="1" applyFont="1" applyFill="1" applyBorder="1" applyAlignment="1">
      <alignment horizontal="center" vertical="center"/>
    </xf>
    <xf numFmtId="4" fontId="11" fillId="5" borderId="20" xfId="0" applyNumberFormat="1" applyFont="1" applyFill="1" applyBorder="1" applyAlignment="1">
      <alignment horizontal="center" vertical="center"/>
    </xf>
    <xf numFmtId="4" fontId="11" fillId="5" borderId="17" xfId="0" applyNumberFormat="1" applyFont="1" applyFill="1" applyBorder="1" applyAlignment="1">
      <alignment horizontal="center" vertical="center"/>
    </xf>
    <xf numFmtId="4" fontId="11" fillId="5" borderId="18" xfId="0" applyNumberFormat="1" applyFont="1" applyFill="1" applyBorder="1" applyAlignment="1">
      <alignment horizontal="center" vertical="center"/>
    </xf>
    <xf numFmtId="4" fontId="12" fillId="6" borderId="14" xfId="0" applyNumberFormat="1" applyFont="1" applyFill="1" applyBorder="1" applyAlignment="1">
      <alignment horizontal="left" vertical="center"/>
    </xf>
    <xf numFmtId="4" fontId="13" fillId="6" borderId="20" xfId="0" applyNumberFormat="1" applyFont="1" applyFill="1" applyBorder="1" applyAlignment="1">
      <alignment horizontal="center" vertical="center"/>
    </xf>
    <xf numFmtId="4" fontId="13" fillId="6" borderId="17" xfId="0" applyNumberFormat="1" applyFont="1" applyFill="1" applyBorder="1" applyAlignment="1">
      <alignment horizontal="center" vertical="center"/>
    </xf>
    <xf numFmtId="4" fontId="13" fillId="6" borderId="18" xfId="0" applyNumberFormat="1" applyFont="1" applyFill="1" applyBorder="1" applyAlignment="1">
      <alignment horizontal="center" vertical="center"/>
    </xf>
    <xf numFmtId="4" fontId="13" fillId="6" borderId="5" xfId="0" applyNumberFormat="1" applyFont="1" applyFill="1" applyBorder="1" applyAlignment="1">
      <alignment horizontal="center" vertical="center"/>
    </xf>
    <xf numFmtId="4" fontId="11" fillId="2" borderId="20" xfId="0" applyNumberFormat="1" applyFont="1" applyFill="1" applyBorder="1" applyAlignment="1">
      <alignment horizontal="center" vertical="center"/>
    </xf>
    <xf numFmtId="4" fontId="10" fillId="2" borderId="15" xfId="0" applyNumberFormat="1" applyFont="1" applyFill="1" applyBorder="1" applyAlignment="1">
      <alignment horizontal="center" vertical="center"/>
    </xf>
    <xf numFmtId="4" fontId="10" fillId="2" borderId="17" xfId="0" applyNumberFormat="1" applyFont="1" applyFill="1" applyBorder="1" applyAlignment="1">
      <alignment horizontal="center" vertical="center"/>
    </xf>
    <xf numFmtId="4" fontId="10" fillId="2" borderId="18" xfId="0" applyNumberFormat="1" applyFont="1" applyFill="1" applyBorder="1" applyAlignment="1">
      <alignment horizontal="center" vertical="center"/>
    </xf>
    <xf numFmtId="4" fontId="16" fillId="0" borderId="5" xfId="0" applyNumberFormat="1" applyFont="1" applyBorder="1" applyAlignment="1">
      <alignment horizontal="left" vertical="center" wrapText="1"/>
    </xf>
    <xf numFmtId="4" fontId="11" fillId="0" borderId="20" xfId="0" applyNumberFormat="1" applyFont="1" applyBorder="1" applyAlignment="1">
      <alignment horizontal="left" vertical="center"/>
    </xf>
    <xf numFmtId="4" fontId="10" fillId="0" borderId="17" xfId="0" applyNumberFormat="1" applyFont="1" applyBorder="1" applyAlignment="1">
      <alignment horizontal="left" vertical="center"/>
    </xf>
    <xf numFmtId="4" fontId="10" fillId="0" borderId="18" xfId="0" applyNumberFormat="1" applyFont="1" applyBorder="1" applyAlignment="1">
      <alignment horizontal="left" vertical="center"/>
    </xf>
    <xf numFmtId="4" fontId="11" fillId="0" borderId="20" xfId="0" applyNumberFormat="1" applyFont="1" applyBorder="1" applyAlignment="1">
      <alignment vertical="center"/>
    </xf>
    <xf numFmtId="4" fontId="11" fillId="0" borderId="17" xfId="0" applyNumberFormat="1" applyFont="1" applyBorder="1" applyAlignment="1">
      <alignment vertical="center"/>
    </xf>
    <xf numFmtId="4" fontId="11" fillId="0" borderId="18" xfId="0" applyNumberFormat="1" applyFont="1" applyBorder="1" applyAlignment="1">
      <alignment vertical="center"/>
    </xf>
    <xf numFmtId="4" fontId="6" fillId="6" borderId="5" xfId="0" applyNumberFormat="1" applyFont="1" applyFill="1" applyBorder="1" applyAlignment="1">
      <alignment horizontal="left" vertical="center" wrapText="1"/>
    </xf>
    <xf numFmtId="4" fontId="6" fillId="6" borderId="20" xfId="0" applyNumberFormat="1" applyFont="1" applyFill="1" applyBorder="1" applyAlignment="1">
      <alignment horizontal="left" vertical="center" wrapText="1"/>
    </xf>
    <xf numFmtId="4" fontId="6" fillId="6" borderId="17" xfId="0" applyNumberFormat="1" applyFont="1" applyFill="1" applyBorder="1" applyAlignment="1">
      <alignment horizontal="left" vertical="center" wrapText="1"/>
    </xf>
    <xf numFmtId="4" fontId="6" fillId="6" borderId="18" xfId="0" applyNumberFormat="1" applyFont="1" applyFill="1" applyBorder="1" applyAlignment="1">
      <alignment horizontal="left" vertical="center" wrapText="1"/>
    </xf>
    <xf numFmtId="0" fontId="13" fillId="6" borderId="5" xfId="0" applyNumberFormat="1" applyFont="1" applyFill="1" applyBorder="1" applyAlignment="1">
      <alignment horizontal="center" vertical="center"/>
    </xf>
    <xf numFmtId="4" fontId="4" fillId="2" borderId="20" xfId="0" applyNumberFormat="1" applyFont="1" applyFill="1" applyBorder="1" applyAlignment="1">
      <alignment horizontal="center" vertical="center" wrapText="1"/>
    </xf>
    <xf numFmtId="4" fontId="4" fillId="2" borderId="17" xfId="0" applyNumberFormat="1" applyFont="1" applyFill="1" applyBorder="1" applyAlignment="1">
      <alignment horizontal="center" vertical="center" wrapText="1"/>
    </xf>
    <xf numFmtId="4" fontId="4" fillId="2" borderId="18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Border="1" applyAlignment="1">
      <alignment horizontal="left" vertical="center"/>
    </xf>
    <xf numFmtId="4" fontId="11" fillId="0" borderId="21" xfId="0" applyNumberFormat="1" applyFont="1" applyBorder="1" applyAlignment="1">
      <alignment horizontal="left" vertical="center"/>
    </xf>
    <xf numFmtId="4" fontId="10" fillId="0" borderId="22" xfId="0" applyNumberFormat="1" applyFont="1" applyBorder="1" applyAlignment="1">
      <alignment horizontal="left" vertical="center"/>
    </xf>
    <xf numFmtId="4" fontId="10" fillId="0" borderId="23" xfId="0" applyNumberFormat="1" applyFont="1" applyBorder="1" applyAlignment="1">
      <alignment horizontal="left" vertical="center"/>
    </xf>
    <xf numFmtId="4" fontId="17" fillId="7" borderId="20" xfId="0" applyNumberFormat="1" applyFont="1" applyFill="1" applyBorder="1" applyAlignment="1">
      <alignment horizontal="left" vertical="center"/>
    </xf>
    <xf numFmtId="4" fontId="6" fillId="7" borderId="20" xfId="0" applyNumberFormat="1" applyFont="1" applyFill="1" applyBorder="1" applyAlignment="1">
      <alignment horizontal="left" vertical="center"/>
    </xf>
    <xf numFmtId="4" fontId="6" fillId="7" borderId="17" xfId="0" applyNumberFormat="1" applyFont="1" applyFill="1" applyBorder="1" applyAlignment="1">
      <alignment horizontal="left" vertical="center"/>
    </xf>
    <xf numFmtId="4" fontId="6" fillId="7" borderId="18" xfId="0" applyNumberFormat="1" applyFont="1" applyFill="1" applyBorder="1" applyAlignment="1">
      <alignment horizontal="left" vertical="center"/>
    </xf>
    <xf numFmtId="4" fontId="13" fillId="7" borderId="18" xfId="0" applyNumberFormat="1" applyFont="1" applyFill="1" applyBorder="1" applyAlignment="1">
      <alignment horizontal="center" vertical="center"/>
    </xf>
    <xf numFmtId="4" fontId="6" fillId="7" borderId="5" xfId="0" applyNumberFormat="1" applyFont="1" applyFill="1" applyBorder="1" applyAlignment="1">
      <alignment horizontal="left" vertical="center"/>
    </xf>
  </cellXfs>
  <cellStyles count="2">
    <cellStyle name="Normal" xfId="0" builtinId="0"/>
    <cellStyle name="Calculation" xfId="1" builtinId="22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Relationship Id="rId2" Type="http://schemas.openxmlformats.org/officeDocument/2006/relationships/image" Target="../media/image2.jpg" /><Relationship Id="rId3" Type="http://schemas.openxmlformats.org/officeDocument/2006/relationships/image" Target="../media/image3.jpg" /><Relationship Id="rId4" Type="http://schemas.openxmlformats.org/officeDocument/2006/relationships/image" Target="../media/image4.jp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2.jp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3.jp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4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1585040" cy="1219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1585040" cy="12192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1585040" cy="1219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1585040" cy="12192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0</xdr:colOff>
      <xdr:row>14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0</xdr:colOff>
      <xdr:row>14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0</xdr:colOff>
      <xdr:row>14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0</xdr:colOff>
      <xdr:row>14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drawing" Target="../drawings/drawing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3.5"/>
  <cols>
    <col min="1" max="1" width="4.5" style="7" customWidth="1"/>
    <col min="2" max="2" width="11.625" style="7" customWidth="1"/>
    <col min="3" max="3" width="8" style="7" customWidth="1"/>
    <col min="4" max="4" width="25.375" style="7" customWidth="1"/>
    <col min="5" max="5" width="9.710938" style="7" customWidth="1"/>
    <col min="6" max="6" width="11.28516" style="7" customWidth="1"/>
    <col min="7" max="7" width="9.375" style="7" customWidth="1"/>
    <col min="8" max="8" width="10.25" style="7" customWidth="1"/>
    <col min="9" max="9" width="10.5" style="7" customWidth="1"/>
    <col min="10" max="10" width="12.25" style="7" customWidth="1"/>
    <col min="11" max="11" width="9.5" style="7" customWidth="1"/>
    <col min="12" max="12" width="9.375" style="7" customWidth="1"/>
    <col min="13" max="13" width="12.25" style="7" customWidth="1"/>
    <col min="14" max="14" width="14.875" style="7" customWidth="1"/>
    <col min="15" max="15" width="13.125" style="7" customWidth="1"/>
    <col min="16" max="16383" width="9.125" style="7"/>
  </cols>
  <sheetData>
    <row r="3" s="1" customFormat="1" ht="30" customHeight="1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="2" customFormat="1" ht="51" customHeight="1">
      <c r="A4" s="1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O4" s="13" t="s">
        <v>15</v>
      </c>
    </row>
    <row r="5" s="3" customFormat="1" ht="96" customHeight="1">
      <c r="A5" s="14" t="s">
        <v>16</v>
      </c>
      <c r="B5" s="15" t="s">
        <v>17</v>
      </c>
      <c r="C5" s="15" t="s">
        <v>18</v>
      </c>
      <c r="D5" s="15" t="s">
        <v>19</v>
      </c>
      <c r="E5" s="16">
        <v>1450</v>
      </c>
      <c r="F5" s="16">
        <v>2100</v>
      </c>
      <c r="G5" s="16">
        <v>3.0499999999999998</v>
      </c>
      <c r="H5" s="16">
        <v>1</v>
      </c>
      <c r="I5" s="17">
        <f>G5*H5</f>
        <v>3.0499999999999998</v>
      </c>
      <c r="J5" s="16">
        <v>100.245</v>
      </c>
      <c r="K5" s="16">
        <v>52.567</v>
      </c>
      <c r="L5" s="16">
        <v>18.800000000000001</v>
      </c>
      <c r="M5" s="17">
        <f>'SD-1'!F14</f>
        <v>128.60342784000002</v>
      </c>
      <c r="N5" s="17">
        <f>'SD-1'!H10</f>
        <v>392.24045491200002</v>
      </c>
      <c r="O5" s="18">
        <f>'SD-1'!H14</f>
        <v>392.24045491200002</v>
      </c>
    </row>
    <row r="6" s="3" customFormat="1" ht="96" customHeight="1">
      <c r="A6" s="14" t="s">
        <v>20</v>
      </c>
      <c r="B6" s="15" t="s">
        <v>17</v>
      </c>
      <c r="C6" s="15" t="s">
        <v>21</v>
      </c>
      <c r="D6" s="15" t="s">
        <v>19</v>
      </c>
      <c r="E6" s="16">
        <v>2910</v>
      </c>
      <c r="F6" s="16">
        <v>1820</v>
      </c>
      <c r="G6" s="16">
        <v>5.2999999999999998</v>
      </c>
      <c r="H6" s="16">
        <v>1</v>
      </c>
      <c r="I6" s="17">
        <f>G6*H6</f>
        <v>5.2999999999999998</v>
      </c>
      <c r="J6" s="16">
        <v>168.273</v>
      </c>
      <c r="K6" s="16">
        <v>92.045000000000002</v>
      </c>
      <c r="L6" s="16">
        <v>37.600000000000001</v>
      </c>
      <c r="M6" s="17">
        <f>'SD-2'!F14</f>
        <v>128.66686521962262</v>
      </c>
      <c r="N6" s="17">
        <f>'SD-2'!H10</f>
        <v>681.93438566399993</v>
      </c>
      <c r="O6" s="18">
        <f>'SD-2'!H14</f>
        <v>681.93438566399993</v>
      </c>
    </row>
    <row r="7" s="3" customFormat="1" ht="96" customHeight="1">
      <c r="A7" s="14" t="s">
        <v>22</v>
      </c>
      <c r="B7" s="15" t="s">
        <v>17</v>
      </c>
      <c r="C7" s="15" t="s">
        <v>23</v>
      </c>
      <c r="D7" s="15" t="s">
        <v>19</v>
      </c>
      <c r="E7" s="16">
        <v>5520</v>
      </c>
      <c r="F7" s="16">
        <v>2100</v>
      </c>
      <c r="G7" s="16">
        <v>11.59</v>
      </c>
      <c r="H7" s="16">
        <v>1</v>
      </c>
      <c r="I7" s="17">
        <f>G7*H7</f>
        <v>11.59</v>
      </c>
      <c r="J7" s="16">
        <v>269.399</v>
      </c>
      <c r="K7" s="16">
        <v>212.94300000000001</v>
      </c>
      <c r="L7" s="16">
        <v>37.600000000000001</v>
      </c>
      <c r="M7" s="17">
        <f>'SD-3'!F14</f>
        <v>108.94507048421052</v>
      </c>
      <c r="N7" s="17">
        <f>'SD-3'!H10</f>
        <v>1262.6733669119999</v>
      </c>
      <c r="O7" s="18">
        <f>'SD-3'!H14</f>
        <v>1262.6733669119999</v>
      </c>
    </row>
    <row r="8" s="3" customFormat="1" ht="96" customHeight="1">
      <c r="A8" s="14" t="s">
        <v>24</v>
      </c>
      <c r="B8" s="15" t="s">
        <v>17</v>
      </c>
      <c r="C8" s="15" t="s">
        <v>25</v>
      </c>
      <c r="D8" s="15" t="s">
        <v>19</v>
      </c>
      <c r="E8" s="16">
        <v>2870</v>
      </c>
      <c r="F8" s="16">
        <v>1820</v>
      </c>
      <c r="G8" s="16">
        <v>5.2199999999999998</v>
      </c>
      <c r="H8" s="16">
        <v>1</v>
      </c>
      <c r="I8" s="17">
        <f>G8*H8</f>
        <v>5.2199999999999998</v>
      </c>
      <c r="J8" s="16">
        <v>165.126</v>
      </c>
      <c r="K8" s="16">
        <v>91.427999999999997</v>
      </c>
      <c r="L8" s="16">
        <v>37.600000000000001</v>
      </c>
      <c r="M8" s="17">
        <f>'SD-4'!F14</f>
        <v>128.83688000000001</v>
      </c>
      <c r="N8" s="17">
        <f>'SD-4'!H10</f>
        <v>672.5285136</v>
      </c>
      <c r="O8" s="18">
        <f>'SD-4'!H14</f>
        <v>672.5285136</v>
      </c>
    </row>
    <row r="9" s="3" customFormat="1" ht="18" customHeight="1">
      <c r="A9" s="19" t="s">
        <v>26</v>
      </c>
      <c r="B9" s="20"/>
      <c r="C9" s="20"/>
      <c r="D9" s="20"/>
      <c r="E9" s="20"/>
      <c r="F9" s="20"/>
      <c r="G9" s="20"/>
      <c r="H9" s="20">
        <f>SUM(H5:H8)</f>
        <v>4</v>
      </c>
      <c r="I9" s="20">
        <f>SUM(I5:I8)</f>
        <v>25.159999999999997</v>
      </c>
      <c r="J9" s="20">
        <f>SUM(J5:J8)</f>
        <v>703.04300000000001</v>
      </c>
      <c r="K9" s="20">
        <f>SUM(K5:K8)</f>
        <v>448.983</v>
      </c>
      <c r="L9" s="20">
        <f>SUM(L5:L8)</f>
        <v>131.59999999999999</v>
      </c>
      <c r="M9" s="20"/>
      <c r="N9" s="20"/>
      <c r="O9" s="21">
        <f>SUM(O5:O8)</f>
        <v>3009.3767210879996</v>
      </c>
    </row>
  </sheetData>
  <mergeCells count="1">
    <mergeCell ref="A3:O3"/>
  </mergeCells>
  <pageMargins left="0.25" right="0.25" top="0.75" bottom="0.75" header="0.3" footer="0.3"/>
  <pageSetup orientation="landscape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3.5"/>
  <sheetData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zoomScaleNormal="100" workbookViewId="0"/>
  </sheetViews>
  <sheetFormatPr defaultColWidth="10.75" defaultRowHeight="15" customHeight="1"/>
  <cols>
    <col min="1" max="1" width="23.71094" style="22" customWidth="1"/>
    <col min="2" max="2" width="20.75" style="22" customWidth="1"/>
    <col min="3" max="3" width="10.75" style="22" customWidth="1"/>
    <col min="4" max="4" width="10.75" style="22" hidden="1" customWidth="1"/>
    <col min="5" max="6" width="10.75" style="22" customWidth="1"/>
    <col min="7" max="8" width="12.75" style="22" customWidth="1"/>
    <col min="9" max="11" width="10.75" style="22" customWidth="1"/>
    <col min="12" max="16384" width="10.75" style="22"/>
  </cols>
  <sheetData>
    <row r="4" ht="24.9" customHeight="1">
      <c r="A4" s="23" t="s">
        <v>27</v>
      </c>
      <c r="B4" s="24"/>
      <c r="C4" s="24"/>
      <c r="D4" s="24"/>
      <c r="E4" s="24"/>
      <c r="F4" s="24"/>
      <c r="G4" s="24"/>
      <c r="H4" s="24"/>
    </row>
    <row r="5" s="4" customFormat="1" ht="15" customHeight="1">
      <c r="A5" s="25" t="s">
        <v>19</v>
      </c>
      <c r="B5" s="25"/>
      <c r="C5" s="25"/>
      <c r="D5" s="25"/>
      <c r="E5" s="26" t="s">
        <v>28</v>
      </c>
      <c r="F5" s="25" t="s">
        <v>17</v>
      </c>
      <c r="G5" s="25"/>
      <c r="H5" s="25"/>
    </row>
    <row r="6" s="4" customFormat="1" ht="15" customHeight="1">
      <c r="A6" s="25"/>
      <c r="B6" s="25"/>
      <c r="C6" s="25"/>
      <c r="D6" s="25"/>
      <c r="E6" s="26" t="s">
        <v>29</v>
      </c>
      <c r="F6" s="25" t="s">
        <v>18</v>
      </c>
      <c r="G6" s="26" t="s">
        <v>30</v>
      </c>
      <c r="H6" s="25" t="s">
        <v>16</v>
      </c>
    </row>
    <row r="7" s="4" customFormat="1" ht="15" customHeight="1">
      <c r="A7" s="25"/>
      <c r="B7" s="25"/>
      <c r="C7" s="25"/>
      <c r="D7" s="25"/>
      <c r="E7" s="26" t="s">
        <v>31</v>
      </c>
      <c r="F7" s="25" t="s">
        <v>32</v>
      </c>
      <c r="G7" s="26" t="s">
        <v>33</v>
      </c>
      <c r="H7" s="25">
        <f>F7*H6</f>
        <v>3.0499999999999998</v>
      </c>
    </row>
    <row r="8" s="4" customFormat="1" ht="15" customHeight="1">
      <c r="A8" s="25"/>
      <c r="B8" s="25"/>
      <c r="C8" s="25"/>
      <c r="D8" s="25"/>
      <c r="E8" s="26" t="s">
        <v>34</v>
      </c>
      <c r="F8" s="25" t="s">
        <v>35</v>
      </c>
      <c r="G8" s="26" t="s">
        <v>36</v>
      </c>
      <c r="H8" s="25" t="s">
        <v>35</v>
      </c>
    </row>
    <row r="9" s="4" customFormat="1" ht="15" customHeight="1">
      <c r="A9" s="25"/>
      <c r="B9" s="25"/>
      <c r="C9" s="25"/>
      <c r="D9" s="25"/>
      <c r="E9" s="26" t="s">
        <v>37</v>
      </c>
      <c r="F9" s="25" t="s">
        <v>19</v>
      </c>
      <c r="G9" s="25"/>
      <c r="H9" s="25"/>
    </row>
    <row r="10" s="4" customFormat="1" ht="15" customHeight="1">
      <c r="A10" s="25"/>
      <c r="B10" s="25"/>
      <c r="C10" s="25"/>
      <c r="D10" s="25"/>
      <c r="E10" s="26" t="s">
        <v>38</v>
      </c>
      <c r="F10" s="25"/>
      <c r="G10" s="26" t="s">
        <v>39</v>
      </c>
      <c r="H10" s="27">
        <f>H14/H6</f>
        <v>392.24045491200002</v>
      </c>
    </row>
    <row r="11" s="4" customFormat="1" ht="15" customHeight="1">
      <c r="A11" s="25"/>
      <c r="B11" s="25"/>
      <c r="C11" s="25"/>
      <c r="D11" s="25"/>
      <c r="E11" s="27" t="s">
        <v>19</v>
      </c>
      <c r="F11" s="27"/>
      <c r="G11" s="27"/>
      <c r="H11" s="27"/>
    </row>
    <row r="12" s="4" customFormat="1" ht="15" customHeight="1">
      <c r="A12" s="25"/>
      <c r="B12" s="25"/>
      <c r="C12" s="25"/>
      <c r="D12" s="25"/>
      <c r="E12" s="27"/>
      <c r="F12" s="27"/>
      <c r="G12" s="27"/>
      <c r="H12" s="27"/>
    </row>
    <row r="13" s="4" customFormat="1" ht="15" customHeight="1">
      <c r="A13" s="25"/>
      <c r="B13" s="25"/>
      <c r="C13" s="25"/>
      <c r="D13" s="25"/>
      <c r="E13" s="27"/>
      <c r="F13" s="27"/>
      <c r="G13" s="27"/>
      <c r="H13" s="27"/>
    </row>
    <row r="14" s="4" customFormat="1" ht="15" customHeight="1">
      <c r="A14" s="28"/>
      <c r="B14" s="28"/>
      <c r="C14" s="28"/>
      <c r="D14" s="28"/>
      <c r="E14" s="29" t="s">
        <v>40</v>
      </c>
      <c r="F14" s="30">
        <f>H14/H7</f>
        <v>128.60342784000002</v>
      </c>
      <c r="G14" s="29" t="s">
        <v>41</v>
      </c>
      <c r="H14" s="30">
        <f>G48</f>
        <v>392.24045491200002</v>
      </c>
    </row>
    <row r="15" s="4" customFormat="1" ht="15" customHeight="1">
      <c r="A15" s="31" t="s">
        <v>42</v>
      </c>
      <c r="B15" s="32"/>
      <c r="C15" s="32"/>
      <c r="D15" s="32"/>
      <c r="E15" s="32"/>
      <c r="F15" s="32"/>
      <c r="G15" s="32"/>
      <c r="H15" s="33"/>
    </row>
    <row r="16" s="5" customFormat="1" ht="15" customHeight="1">
      <c r="A16" s="34" t="s">
        <v>43</v>
      </c>
      <c r="B16" s="35"/>
      <c r="C16" s="35"/>
      <c r="D16" s="35"/>
      <c r="E16" s="35"/>
      <c r="F16" s="35"/>
      <c r="G16" s="35"/>
      <c r="H16" s="36"/>
    </row>
    <row r="17" s="4" customFormat="1" ht="15" customHeight="1">
      <c r="A17" s="37" t="s">
        <v>44</v>
      </c>
      <c r="B17" s="26" t="s">
        <v>45</v>
      </c>
      <c r="C17" s="26" t="s">
        <v>46</v>
      </c>
      <c r="D17" s="25" t="s">
        <v>47</v>
      </c>
      <c r="E17" s="26" t="s">
        <v>48</v>
      </c>
      <c r="F17" s="26" t="s">
        <v>49</v>
      </c>
      <c r="G17" s="26" t="s">
        <v>41</v>
      </c>
      <c r="H17" s="26" t="s">
        <v>50</v>
      </c>
    </row>
    <row r="18" s="4" customFormat="1" ht="15" customHeight="1">
      <c r="A18" s="27" t="s">
        <v>51</v>
      </c>
      <c r="B18" s="25"/>
      <c r="C18" s="38" t="s">
        <v>52</v>
      </c>
      <c r="D18" s="38" t="s">
        <v>53</v>
      </c>
      <c r="E18" s="25" t="s">
        <v>54</v>
      </c>
      <c r="F18" s="38" t="s">
        <v>55</v>
      </c>
      <c r="G18" s="25">
        <f>D18*C18*F18</f>
        <v>100.24000000000001</v>
      </c>
      <c r="H18" s="25"/>
    </row>
    <row r="19" s="4" customFormat="1" ht="15" customHeight="1">
      <c r="A19" s="39"/>
      <c r="B19" s="25"/>
      <c r="C19" s="25"/>
      <c r="D19" s="25"/>
      <c r="E19" s="25"/>
      <c r="F19" s="25"/>
      <c r="G19" s="25"/>
      <c r="H19" s="25"/>
    </row>
    <row r="20" s="4" customFormat="1" ht="15" customHeight="1">
      <c r="A20" s="40" t="s">
        <v>56</v>
      </c>
      <c r="B20" s="41"/>
      <c r="C20" s="41"/>
      <c r="D20" s="41"/>
      <c r="E20" s="41"/>
      <c r="F20" s="42"/>
      <c r="G20" s="43">
        <f>SUM(G18:G19)</f>
        <v>100.24000000000001</v>
      </c>
      <c r="H20" s="43"/>
    </row>
    <row r="21" s="4" customFormat="1" ht="15" customHeight="1">
      <c r="A21" s="44" t="s">
        <v>57</v>
      </c>
      <c r="B21" s="25"/>
      <c r="C21" s="25"/>
      <c r="D21" s="25"/>
      <c r="E21" s="25"/>
      <c r="F21" s="25"/>
      <c r="G21" s="25"/>
      <c r="H21" s="25"/>
    </row>
    <row r="22" s="4" customFormat="1" ht="15" customHeight="1">
      <c r="A22" s="37" t="s">
        <v>44</v>
      </c>
      <c r="B22" s="26" t="s">
        <v>45</v>
      </c>
      <c r="C22" s="26" t="s">
        <v>58</v>
      </c>
      <c r="D22" s="25" t="s">
        <v>47</v>
      </c>
      <c r="E22" s="26" t="s">
        <v>48</v>
      </c>
      <c r="F22" s="26" t="s">
        <v>49</v>
      </c>
      <c r="G22" s="26" t="s">
        <v>59</v>
      </c>
      <c r="H22" s="26" t="s">
        <v>60</v>
      </c>
    </row>
    <row r="23" s="4" customFormat="1" ht="15" customHeight="1">
      <c r="A23" s="27" t="s">
        <v>61</v>
      </c>
      <c r="B23" s="25" t="s">
        <v>62</v>
      </c>
      <c r="C23" s="38" t="s">
        <v>63</v>
      </c>
      <c r="D23" s="38" t="s">
        <v>53</v>
      </c>
      <c r="E23" s="25" t="s">
        <v>64</v>
      </c>
      <c r="F23" s="38" t="s">
        <v>65</v>
      </c>
      <c r="G23" s="25">
        <f>D23*C23*F23</f>
        <v>52.5</v>
      </c>
      <c r="H23" s="25"/>
    </row>
    <row r="24" s="4" customFormat="1" ht="15" customHeight="1">
      <c r="A24" s="40" t="s">
        <v>66</v>
      </c>
      <c r="B24" s="41"/>
      <c r="C24" s="41"/>
      <c r="D24" s="41"/>
      <c r="E24" s="41"/>
      <c r="F24" s="42"/>
      <c r="G24" s="43">
        <f>SUM(G23)</f>
        <v>52.5</v>
      </c>
      <c r="H24" s="43"/>
      <c r="L24" s="45"/>
    </row>
    <row r="25" s="4" customFormat="1" ht="15" customHeight="1">
      <c r="A25" s="44" t="s">
        <v>67</v>
      </c>
      <c r="B25" s="25"/>
      <c r="C25" s="25"/>
      <c r="D25" s="25"/>
      <c r="E25" s="25"/>
      <c r="F25" s="25"/>
      <c r="G25" s="25"/>
      <c r="H25" s="25"/>
    </row>
    <row r="26" s="4" customFormat="1" ht="15" customHeight="1">
      <c r="A26" s="37" t="s">
        <v>44</v>
      </c>
      <c r="B26" s="26" t="s">
        <v>45</v>
      </c>
      <c r="C26" s="26" t="s">
        <v>58</v>
      </c>
      <c r="D26" s="25" t="s">
        <v>47</v>
      </c>
      <c r="E26" s="26" t="s">
        <v>48</v>
      </c>
      <c r="F26" s="26" t="s">
        <v>49</v>
      </c>
      <c r="G26" s="26" t="s">
        <v>59</v>
      </c>
      <c r="H26" s="26" t="s">
        <v>60</v>
      </c>
    </row>
    <row r="27" s="4" customFormat="1" ht="15" customHeight="1">
      <c r="A27" s="27" t="s">
        <v>68</v>
      </c>
      <c r="B27" s="25" t="s">
        <v>19</v>
      </c>
      <c r="C27" s="38" t="s">
        <v>69</v>
      </c>
      <c r="D27" s="38" t="s">
        <v>53</v>
      </c>
      <c r="E27" s="25" t="s">
        <v>70</v>
      </c>
      <c r="F27" s="38" t="s">
        <v>71</v>
      </c>
      <c r="G27" s="25">
        <f>D27*C27*F27</f>
        <v>7.5999999999999996</v>
      </c>
      <c r="H27" s="25"/>
    </row>
    <row r="28" s="4" customFormat="1" ht="15" customHeight="1">
      <c r="A28" s="27" t="s">
        <v>72</v>
      </c>
      <c r="B28" s="25" t="s">
        <v>19</v>
      </c>
      <c r="C28" s="38" t="s">
        <v>69</v>
      </c>
      <c r="D28" s="38" t="s">
        <v>53</v>
      </c>
      <c r="E28" s="25" t="s">
        <v>73</v>
      </c>
      <c r="F28" s="38" t="s">
        <v>74</v>
      </c>
      <c r="G28" s="25">
        <f>D28*C28*F28</f>
        <v>7.7999999999999998</v>
      </c>
      <c r="H28" s="25"/>
    </row>
    <row r="29" s="4" customFormat="1" ht="15" customHeight="1">
      <c r="A29" s="27" t="s">
        <v>75</v>
      </c>
      <c r="B29" s="25" t="s">
        <v>19</v>
      </c>
      <c r="C29" s="38" t="s">
        <v>69</v>
      </c>
      <c r="D29" s="38" t="s">
        <v>53</v>
      </c>
      <c r="E29" s="25" t="s">
        <v>73</v>
      </c>
      <c r="F29" s="38" t="s">
        <v>76</v>
      </c>
      <c r="G29" s="25">
        <f>D29*C29*F29</f>
        <v>3.3999999999999999</v>
      </c>
      <c r="H29" s="25"/>
    </row>
    <row r="30" s="4" customFormat="1" ht="15" customHeight="1">
      <c r="A30" s="39"/>
      <c r="B30" s="28"/>
      <c r="C30" s="28"/>
      <c r="D30" s="28"/>
      <c r="E30" s="28"/>
      <c r="F30" s="28"/>
      <c r="G30" s="25"/>
      <c r="H30" s="25"/>
    </row>
    <row r="31" s="4" customFormat="1" ht="15" customHeight="1">
      <c r="A31" s="40" t="s">
        <v>77</v>
      </c>
      <c r="B31" s="41"/>
      <c r="C31" s="41"/>
      <c r="D31" s="41"/>
      <c r="E31" s="41"/>
      <c r="F31" s="42"/>
      <c r="G31" s="46">
        <f>SUM(G27:G30)</f>
        <v>18.799999999999997</v>
      </c>
      <c r="H31" s="47"/>
    </row>
    <row r="32" s="4" customFormat="1" ht="15" customHeight="1">
      <c r="A32" s="48" t="s">
        <v>78</v>
      </c>
      <c r="B32" s="49" t="s">
        <v>79</v>
      </c>
      <c r="C32" s="50"/>
      <c r="D32" s="50"/>
      <c r="E32" s="50"/>
      <c r="F32" s="51"/>
      <c r="G32" s="51">
        <f>G31+G24+G20</f>
        <v>171.54000000000002</v>
      </c>
      <c r="H32" s="52"/>
    </row>
    <row r="33" s="4" customFormat="1" ht="15" customHeight="1">
      <c r="A33" s="53" t="s">
        <v>80</v>
      </c>
      <c r="B33" s="54"/>
      <c r="C33" s="54"/>
      <c r="D33" s="54"/>
      <c r="E33" s="54"/>
      <c r="F33" s="54"/>
      <c r="G33" s="54"/>
      <c r="H33" s="55"/>
    </row>
    <row r="34" s="4" customFormat="1" ht="15" customHeight="1">
      <c r="A34" s="37" t="s">
        <v>44</v>
      </c>
      <c r="B34" s="25"/>
      <c r="C34" s="26" t="s">
        <v>58</v>
      </c>
      <c r="D34" s="25"/>
      <c r="E34" s="26" t="s">
        <v>48</v>
      </c>
      <c r="F34" s="26" t="s">
        <v>49</v>
      </c>
      <c r="G34" s="26" t="s">
        <v>59</v>
      </c>
      <c r="H34" s="26" t="s">
        <v>81</v>
      </c>
    </row>
    <row r="35" s="4" customFormat="1" ht="15" customHeight="1">
      <c r="A35" s="37" t="s">
        <v>82</v>
      </c>
      <c r="B35" s="25"/>
      <c r="C35" s="25">
        <f>H7</f>
        <v>3.0499999999999998</v>
      </c>
      <c r="D35" s="25"/>
      <c r="E35" s="26" t="s">
        <v>40</v>
      </c>
      <c r="F35" s="25">
        <v>8</v>
      </c>
      <c r="G35" s="25">
        <f>C35*F35</f>
        <v>24.399999999999999</v>
      </c>
      <c r="H35" s="25"/>
    </row>
    <row r="36" s="4" customFormat="1" ht="15" customHeight="1">
      <c r="A36" s="37" t="s">
        <v>83</v>
      </c>
      <c r="B36" s="25"/>
      <c r="C36" s="25">
        <f>H7</f>
        <v>3.0499999999999998</v>
      </c>
      <c r="D36" s="25"/>
      <c r="E36" s="26" t="s">
        <v>40</v>
      </c>
      <c r="F36" s="25">
        <v>8</v>
      </c>
      <c r="G36" s="25">
        <f>C36*F36</f>
        <v>24.399999999999999</v>
      </c>
      <c r="H36" s="25"/>
    </row>
    <row r="37" s="4" customFormat="1" ht="15" customHeight="1">
      <c r="A37" s="37" t="s">
        <v>84</v>
      </c>
      <c r="B37" s="25"/>
      <c r="C37" s="25">
        <f>H7</f>
        <v>3.0499999999999998</v>
      </c>
      <c r="D37" s="25"/>
      <c r="E37" s="26" t="s">
        <v>40</v>
      </c>
      <c r="F37" s="25">
        <v>2</v>
      </c>
      <c r="G37" s="25">
        <f>C37*F37</f>
        <v>6.0999999999999996</v>
      </c>
      <c r="H37" s="25"/>
    </row>
    <row r="38" s="4" customFormat="1" ht="15" customHeight="1">
      <c r="A38" s="40" t="s">
        <v>85</v>
      </c>
      <c r="B38" s="41"/>
      <c r="C38" s="41"/>
      <c r="D38" s="41"/>
      <c r="E38" s="41"/>
      <c r="F38" s="42"/>
      <c r="G38" s="46">
        <f>SUM(G35:G37)</f>
        <v>54.899999999999999</v>
      </c>
      <c r="H38" s="47"/>
    </row>
    <row r="39" s="4" customFormat="1" ht="15" customHeight="1">
      <c r="A39" s="56" t="s">
        <v>86</v>
      </c>
      <c r="B39" s="57" t="s">
        <v>87</v>
      </c>
      <c r="C39" s="58"/>
      <c r="D39" s="58"/>
      <c r="E39" s="58"/>
      <c r="F39" s="59"/>
      <c r="G39" s="59">
        <f>G38+G32</f>
        <v>226.44000000000003</v>
      </c>
      <c r="H39" s="60"/>
    </row>
    <row r="40" s="4" customFormat="1" ht="15" customHeight="1">
      <c r="A40" s="61" t="s">
        <v>88</v>
      </c>
      <c r="B40" s="62"/>
      <c r="C40" s="62"/>
      <c r="D40" s="62"/>
      <c r="E40" s="62"/>
      <c r="F40" s="62"/>
      <c r="G40" s="63"/>
      <c r="H40" s="64"/>
    </row>
    <row r="41" s="4" customFormat="1" ht="15" customHeight="1">
      <c r="A41" s="65" t="s">
        <v>89</v>
      </c>
      <c r="B41" s="66" t="s">
        <v>90</v>
      </c>
      <c r="C41" s="67"/>
      <c r="D41" s="67"/>
      <c r="E41" s="67"/>
      <c r="F41" s="68"/>
      <c r="G41" s="25">
        <f>G39*0.1</f>
        <v>22.644000000000005</v>
      </c>
      <c r="H41" s="27"/>
    </row>
    <row r="42" s="4" customFormat="1" ht="15" customHeight="1">
      <c r="A42" s="65" t="s">
        <v>91</v>
      </c>
      <c r="B42" s="69" t="s">
        <v>92</v>
      </c>
      <c r="C42" s="70"/>
      <c r="D42" s="70"/>
      <c r="E42" s="70"/>
      <c r="F42" s="71"/>
      <c r="G42" s="25">
        <f>G39*0.12</f>
        <v>27.172800000000002</v>
      </c>
      <c r="H42" s="27"/>
    </row>
    <row r="43" s="4" customFormat="1" ht="15" customHeight="1">
      <c r="A43" s="72"/>
      <c r="B43" s="73"/>
      <c r="C43" s="74"/>
      <c r="D43" s="74"/>
      <c r="E43" s="74"/>
      <c r="F43" s="75"/>
      <c r="G43" s="76">
        <f>G41+G42</f>
        <v>49.816800000000008</v>
      </c>
      <c r="H43" s="72"/>
    </row>
    <row r="44" s="4" customFormat="1" ht="15" customHeight="1">
      <c r="A44" s="77" t="s">
        <v>93</v>
      </c>
      <c r="B44" s="78"/>
      <c r="C44" s="78"/>
      <c r="D44" s="78"/>
      <c r="E44" s="78"/>
      <c r="F44" s="78"/>
      <c r="G44" s="78"/>
      <c r="H44" s="79"/>
    </row>
    <row r="45" s="4" customFormat="1" ht="15" customHeight="1">
      <c r="A45" s="80" t="s">
        <v>94</v>
      </c>
      <c r="B45" s="66" t="s">
        <v>95</v>
      </c>
      <c r="C45" s="67"/>
      <c r="D45" s="67"/>
      <c r="E45" s="67"/>
      <c r="F45" s="68"/>
      <c r="G45" s="25">
        <f>(G39+G43)*0.2</f>
        <v>55.251360000000012</v>
      </c>
      <c r="H45" s="27"/>
    </row>
    <row r="46" s="4" customFormat="1" ht="15" customHeight="1">
      <c r="A46" s="80" t="s">
        <v>96</v>
      </c>
      <c r="B46" s="66" t="s">
        <v>97</v>
      </c>
      <c r="C46" s="67"/>
      <c r="D46" s="67"/>
      <c r="E46" s="67"/>
      <c r="F46" s="68"/>
      <c r="G46" s="25">
        <f>(G39+G43+G45)*0.16</f>
        <v>53.041305600000015</v>
      </c>
      <c r="H46" s="27"/>
    </row>
    <row r="47" s="4" customFormat="1" ht="15" customHeight="1">
      <c r="A47" s="80" t="s">
        <v>98</v>
      </c>
      <c r="B47" s="81" t="s">
        <v>99</v>
      </c>
      <c r="C47" s="82"/>
      <c r="D47" s="82"/>
      <c r="E47" s="82"/>
      <c r="F47" s="83"/>
      <c r="G47" s="25">
        <f>(G39+G43+G45+G46)*0.02</f>
        <v>7.6909893120000019</v>
      </c>
      <c r="H47" s="27"/>
    </row>
    <row r="48" s="6" customFormat="1" ht="15" customHeight="1">
      <c r="A48" s="84" t="s">
        <v>100</v>
      </c>
      <c r="B48" s="85"/>
      <c r="C48" s="86"/>
      <c r="D48" s="86"/>
      <c r="E48" s="86"/>
      <c r="F48" s="87"/>
      <c r="G48" s="88">
        <f>G47+G46+G45+G43+G39</f>
        <v>392.24045491200002</v>
      </c>
      <c r="H48" s="89"/>
    </row>
  </sheetData>
  <mergeCells count="16">
    <mergeCell ref="B45:F45"/>
    <mergeCell ref="B43:F43"/>
    <mergeCell ref="B46:F46"/>
    <mergeCell ref="B47:F47"/>
    <mergeCell ref="E11:H13"/>
    <mergeCell ref="A16:H16"/>
    <mergeCell ref="A33:H33"/>
    <mergeCell ref="A40:H40"/>
    <mergeCell ref="A44:H44"/>
    <mergeCell ref="B41:F41"/>
    <mergeCell ref="B42:F42"/>
    <mergeCell ref="A4:H4"/>
    <mergeCell ref="A5:C14"/>
    <mergeCell ref="F9:H9"/>
    <mergeCell ref="F5:H5"/>
    <mergeCell ref="A15:H15"/>
  </mergeCells>
  <printOptions horizontalCentered="1"/>
  <pageMargins left="0.25" right="0.25" top="0.25" bottom="0.25" header="0.3006944" footer="0.3006944"/>
  <pageSetup r:id="rId1" orientation="portrait"/>
  <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zoomScaleNormal="100" workbookViewId="0" topLeftCell="A2"/>
  </sheetViews>
  <sheetFormatPr defaultColWidth="10.75" defaultRowHeight="15" customHeight="1"/>
  <cols>
    <col min="1" max="2" width="20.75" style="22" customWidth="1"/>
    <col min="3" max="3" width="10.75" style="22" customWidth="1"/>
    <col min="4" max="4" width="10.75" style="22" hidden="1" customWidth="1"/>
    <col min="5" max="6" width="10.75" style="22" customWidth="1"/>
    <col min="7" max="8" width="12.75" style="22" customWidth="1"/>
    <col min="9" max="11" width="10.75" style="22" customWidth="1"/>
    <col min="12" max="16384" width="10.75" style="22"/>
  </cols>
  <sheetData>
    <row r="4" ht="24.9" customHeight="1">
      <c r="A4" s="23" t="s">
        <v>101</v>
      </c>
      <c r="B4" s="24"/>
      <c r="C4" s="24"/>
      <c r="D4" s="24"/>
      <c r="E4" s="24"/>
      <c r="F4" s="24"/>
      <c r="G4" s="24"/>
      <c r="H4" s="24"/>
    </row>
    <row r="5" s="4" customFormat="1" ht="15" customHeight="1">
      <c r="A5" s="25" t="s">
        <v>19</v>
      </c>
      <c r="B5" s="25"/>
      <c r="C5" s="25"/>
      <c r="D5" s="25"/>
      <c r="E5" s="26" t="s">
        <v>28</v>
      </c>
      <c r="F5" s="25" t="s">
        <v>17</v>
      </c>
      <c r="G5" s="25"/>
      <c r="H5" s="25"/>
    </row>
    <row r="6" s="4" customFormat="1" ht="15" customHeight="1">
      <c r="A6" s="25"/>
      <c r="B6" s="25"/>
      <c r="C6" s="25"/>
      <c r="D6" s="25"/>
      <c r="E6" s="26" t="s">
        <v>29</v>
      </c>
      <c r="F6" s="25" t="s">
        <v>21</v>
      </c>
      <c r="G6" s="26" t="s">
        <v>30</v>
      </c>
      <c r="H6" s="25" t="s">
        <v>16</v>
      </c>
    </row>
    <row r="7" s="4" customFormat="1" ht="15" customHeight="1">
      <c r="A7" s="25"/>
      <c r="B7" s="25"/>
      <c r="C7" s="25"/>
      <c r="D7" s="25"/>
      <c r="E7" s="26" t="s">
        <v>31</v>
      </c>
      <c r="F7" s="25" t="s">
        <v>102</v>
      </c>
      <c r="G7" s="26" t="s">
        <v>33</v>
      </c>
      <c r="H7" s="25">
        <f>F7*H6</f>
        <v>5.2999999999999998</v>
      </c>
    </row>
    <row r="8" s="4" customFormat="1" ht="15" customHeight="1">
      <c r="A8" s="25"/>
      <c r="B8" s="25"/>
      <c r="C8" s="25"/>
      <c r="D8" s="25"/>
      <c r="E8" s="26" t="s">
        <v>34</v>
      </c>
      <c r="F8" s="25" t="s">
        <v>35</v>
      </c>
      <c r="G8" s="26" t="s">
        <v>36</v>
      </c>
      <c r="H8" s="25" t="s">
        <v>35</v>
      </c>
    </row>
    <row r="9" s="4" customFormat="1" ht="15" customHeight="1">
      <c r="A9" s="25"/>
      <c r="B9" s="25"/>
      <c r="C9" s="25"/>
      <c r="D9" s="25"/>
      <c r="E9" s="26" t="s">
        <v>37</v>
      </c>
      <c r="F9" s="25" t="s">
        <v>19</v>
      </c>
      <c r="G9" s="25"/>
      <c r="H9" s="25"/>
    </row>
    <row r="10" s="4" customFormat="1" ht="15" customHeight="1">
      <c r="A10" s="25"/>
      <c r="B10" s="25"/>
      <c r="C10" s="25"/>
      <c r="D10" s="25"/>
      <c r="E10" s="26" t="s">
        <v>38</v>
      </c>
      <c r="F10" s="25"/>
      <c r="G10" s="26" t="s">
        <v>39</v>
      </c>
      <c r="H10" s="27">
        <f>H14/H6</f>
        <v>681.93438566399993</v>
      </c>
    </row>
    <row r="11" s="4" customFormat="1" ht="15" customHeight="1">
      <c r="A11" s="25"/>
      <c r="B11" s="25"/>
      <c r="C11" s="25"/>
      <c r="D11" s="25"/>
      <c r="E11" s="27" t="s">
        <v>19</v>
      </c>
      <c r="F11" s="27"/>
      <c r="G11" s="27"/>
      <c r="H11" s="27"/>
    </row>
    <row r="12" s="4" customFormat="1" ht="15" customHeight="1">
      <c r="A12" s="25"/>
      <c r="B12" s="25"/>
      <c r="C12" s="25"/>
      <c r="D12" s="25"/>
      <c r="E12" s="27"/>
      <c r="F12" s="27"/>
      <c r="G12" s="27"/>
      <c r="H12" s="27"/>
    </row>
    <row r="13" s="4" customFormat="1" ht="15" customHeight="1">
      <c r="A13" s="25"/>
      <c r="B13" s="25"/>
      <c r="C13" s="25"/>
      <c r="D13" s="25"/>
      <c r="E13" s="27"/>
      <c r="F13" s="27"/>
      <c r="G13" s="27"/>
      <c r="H13" s="27"/>
    </row>
    <row r="14" s="4" customFormat="1" ht="15" customHeight="1">
      <c r="A14" s="28"/>
      <c r="B14" s="28"/>
      <c r="C14" s="28"/>
      <c r="D14" s="28"/>
      <c r="E14" s="29" t="s">
        <v>40</v>
      </c>
      <c r="F14" s="30">
        <f>H14/H7</f>
        <v>128.66686521962262</v>
      </c>
      <c r="G14" s="29" t="s">
        <v>41</v>
      </c>
      <c r="H14" s="30">
        <f>G48</f>
        <v>681.93438566399993</v>
      </c>
    </row>
    <row r="15" s="4" customFormat="1" ht="15" customHeight="1">
      <c r="A15" s="31" t="s">
        <v>42</v>
      </c>
      <c r="B15" s="32"/>
      <c r="C15" s="32"/>
      <c r="D15" s="32"/>
      <c r="E15" s="32"/>
      <c r="F15" s="32"/>
      <c r="G15" s="32"/>
      <c r="H15" s="33"/>
    </row>
    <row r="16" s="5" customFormat="1" ht="15" customHeight="1">
      <c r="A16" s="34" t="s">
        <v>43</v>
      </c>
      <c r="B16" s="35"/>
      <c r="C16" s="35"/>
      <c r="D16" s="35"/>
      <c r="E16" s="35"/>
      <c r="F16" s="35"/>
      <c r="G16" s="35"/>
      <c r="H16" s="36"/>
    </row>
    <row r="17" s="4" customFormat="1" ht="15" customHeight="1">
      <c r="A17" s="37" t="s">
        <v>44</v>
      </c>
      <c r="B17" s="26" t="s">
        <v>45</v>
      </c>
      <c r="C17" s="26" t="s">
        <v>46</v>
      </c>
      <c r="D17" s="25" t="s">
        <v>47</v>
      </c>
      <c r="E17" s="26" t="s">
        <v>48</v>
      </c>
      <c r="F17" s="26" t="s">
        <v>49</v>
      </c>
      <c r="G17" s="26" t="s">
        <v>41</v>
      </c>
      <c r="H17" s="26" t="s">
        <v>50</v>
      </c>
    </row>
    <row r="18" s="4" customFormat="1" ht="15" customHeight="1">
      <c r="A18" s="27" t="s">
        <v>51</v>
      </c>
      <c r="B18" s="25"/>
      <c r="C18" s="38" t="s">
        <v>103</v>
      </c>
      <c r="D18" s="38" t="s">
        <v>53</v>
      </c>
      <c r="E18" s="25" t="s">
        <v>54</v>
      </c>
      <c r="F18" s="38" t="s">
        <v>55</v>
      </c>
      <c r="G18" s="25">
        <f>D18*C18*F18</f>
        <v>168.28</v>
      </c>
      <c r="H18" s="25"/>
    </row>
    <row r="19" s="4" customFormat="1" ht="15" customHeight="1">
      <c r="A19" s="39"/>
      <c r="B19" s="25"/>
      <c r="C19" s="25"/>
      <c r="D19" s="25"/>
      <c r="E19" s="25"/>
      <c r="F19" s="25"/>
      <c r="G19" s="25"/>
      <c r="H19" s="25"/>
    </row>
    <row r="20" s="4" customFormat="1" ht="15" customHeight="1">
      <c r="A20" s="40" t="s">
        <v>56</v>
      </c>
      <c r="B20" s="41"/>
      <c r="C20" s="41"/>
      <c r="D20" s="41"/>
      <c r="E20" s="41"/>
      <c r="F20" s="42"/>
      <c r="G20" s="43">
        <f>SUM(G18:G19)</f>
        <v>168.28</v>
      </c>
      <c r="H20" s="43"/>
    </row>
    <row r="21" s="4" customFormat="1" ht="15" customHeight="1">
      <c r="A21" s="44" t="s">
        <v>57</v>
      </c>
      <c r="B21" s="25"/>
      <c r="C21" s="25"/>
      <c r="D21" s="25"/>
      <c r="E21" s="25"/>
      <c r="F21" s="25"/>
      <c r="G21" s="25"/>
      <c r="H21" s="25"/>
    </row>
    <row r="22" s="4" customFormat="1" ht="15" customHeight="1">
      <c r="A22" s="37" t="s">
        <v>44</v>
      </c>
      <c r="B22" s="26" t="s">
        <v>45</v>
      </c>
      <c r="C22" s="26" t="s">
        <v>58</v>
      </c>
      <c r="D22" s="25" t="s">
        <v>47</v>
      </c>
      <c r="E22" s="26" t="s">
        <v>48</v>
      </c>
      <c r="F22" s="26" t="s">
        <v>49</v>
      </c>
      <c r="G22" s="26" t="s">
        <v>59</v>
      </c>
      <c r="H22" s="26" t="s">
        <v>60</v>
      </c>
    </row>
    <row r="23" s="4" customFormat="1" ht="15" customHeight="1">
      <c r="A23" s="27" t="s">
        <v>61</v>
      </c>
      <c r="B23" s="25" t="s">
        <v>62</v>
      </c>
      <c r="C23" s="38" t="s">
        <v>104</v>
      </c>
      <c r="D23" s="38" t="s">
        <v>53</v>
      </c>
      <c r="E23" s="25" t="s">
        <v>64</v>
      </c>
      <c r="F23" s="38" t="s">
        <v>65</v>
      </c>
      <c r="G23" s="25">
        <f>D23*C23*F23</f>
        <v>92.400000000000006</v>
      </c>
      <c r="H23" s="25"/>
    </row>
    <row r="24" s="4" customFormat="1" ht="15" customHeight="1">
      <c r="A24" s="40" t="s">
        <v>66</v>
      </c>
      <c r="B24" s="41"/>
      <c r="C24" s="41"/>
      <c r="D24" s="41"/>
      <c r="E24" s="41"/>
      <c r="F24" s="42"/>
      <c r="G24" s="43">
        <f>SUM(G23)</f>
        <v>92.400000000000006</v>
      </c>
      <c r="H24" s="43"/>
      <c r="L24" s="45"/>
    </row>
    <row r="25" s="4" customFormat="1" ht="15" customHeight="1">
      <c r="A25" s="44" t="s">
        <v>67</v>
      </c>
      <c r="B25" s="25"/>
      <c r="C25" s="25"/>
      <c r="D25" s="25"/>
      <c r="E25" s="25"/>
      <c r="F25" s="25"/>
      <c r="G25" s="25"/>
      <c r="H25" s="25"/>
    </row>
    <row r="26" s="4" customFormat="1" ht="15" customHeight="1">
      <c r="A26" s="37" t="s">
        <v>44</v>
      </c>
      <c r="B26" s="26" t="s">
        <v>45</v>
      </c>
      <c r="C26" s="26" t="s">
        <v>58</v>
      </c>
      <c r="D26" s="25" t="s">
        <v>47</v>
      </c>
      <c r="E26" s="26" t="s">
        <v>48</v>
      </c>
      <c r="F26" s="26" t="s">
        <v>49</v>
      </c>
      <c r="G26" s="26" t="s">
        <v>59</v>
      </c>
      <c r="H26" s="26" t="s">
        <v>60</v>
      </c>
    </row>
    <row r="27" s="4" customFormat="1" ht="15" customHeight="1">
      <c r="A27" s="27" t="s">
        <v>68</v>
      </c>
      <c r="B27" s="25" t="s">
        <v>19</v>
      </c>
      <c r="C27" s="38" t="s">
        <v>105</v>
      </c>
      <c r="D27" s="38" t="s">
        <v>53</v>
      </c>
      <c r="E27" s="25" t="s">
        <v>70</v>
      </c>
      <c r="F27" s="38" t="s">
        <v>71</v>
      </c>
      <c r="G27" s="25">
        <f>D27*C27*F27</f>
        <v>15.199999999999999</v>
      </c>
      <c r="H27" s="25"/>
    </row>
    <row r="28" s="4" customFormat="1" ht="15" customHeight="1">
      <c r="A28" s="27" t="s">
        <v>72</v>
      </c>
      <c r="B28" s="25" t="s">
        <v>19</v>
      </c>
      <c r="C28" s="38" t="s">
        <v>105</v>
      </c>
      <c r="D28" s="38" t="s">
        <v>53</v>
      </c>
      <c r="E28" s="25" t="s">
        <v>73</v>
      </c>
      <c r="F28" s="38" t="s">
        <v>74</v>
      </c>
      <c r="G28" s="25">
        <f>D28*C28*F28</f>
        <v>15.6</v>
      </c>
      <c r="H28" s="25"/>
    </row>
    <row r="29" s="4" customFormat="1" ht="15" customHeight="1">
      <c r="A29" s="27" t="s">
        <v>75</v>
      </c>
      <c r="B29" s="25" t="s">
        <v>19</v>
      </c>
      <c r="C29" s="38" t="s">
        <v>105</v>
      </c>
      <c r="D29" s="38" t="s">
        <v>53</v>
      </c>
      <c r="E29" s="25" t="s">
        <v>73</v>
      </c>
      <c r="F29" s="38" t="s">
        <v>76</v>
      </c>
      <c r="G29" s="25">
        <f>D29*C29*F29</f>
        <v>6.7999999999999998</v>
      </c>
      <c r="H29" s="25"/>
    </row>
    <row r="30" s="4" customFormat="1" ht="15" customHeight="1">
      <c r="A30" s="39"/>
      <c r="B30" s="28"/>
      <c r="C30" s="28"/>
      <c r="D30" s="28"/>
      <c r="E30" s="28"/>
      <c r="F30" s="28"/>
      <c r="G30" s="25"/>
      <c r="H30" s="25"/>
    </row>
    <row r="31" s="4" customFormat="1" ht="15" customHeight="1">
      <c r="A31" s="40" t="s">
        <v>77</v>
      </c>
      <c r="B31" s="41"/>
      <c r="C31" s="41"/>
      <c r="D31" s="41"/>
      <c r="E31" s="41"/>
      <c r="F31" s="42"/>
      <c r="G31" s="46">
        <f>SUM(G27:G30)</f>
        <v>37.599999999999994</v>
      </c>
      <c r="H31" s="47"/>
    </row>
    <row r="32" s="4" customFormat="1" ht="15" customHeight="1">
      <c r="A32" s="48" t="s">
        <v>78</v>
      </c>
      <c r="B32" s="49" t="s">
        <v>79</v>
      </c>
      <c r="C32" s="50"/>
      <c r="D32" s="50"/>
      <c r="E32" s="50"/>
      <c r="F32" s="51"/>
      <c r="G32" s="51">
        <f>G31+G24+G20</f>
        <v>298.27999999999997</v>
      </c>
      <c r="H32" s="52"/>
    </row>
    <row r="33" s="4" customFormat="1" ht="15" customHeight="1">
      <c r="A33" s="53" t="s">
        <v>80</v>
      </c>
      <c r="B33" s="54"/>
      <c r="C33" s="54"/>
      <c r="D33" s="54"/>
      <c r="E33" s="54"/>
      <c r="F33" s="54"/>
      <c r="G33" s="54"/>
      <c r="H33" s="55"/>
    </row>
    <row r="34" s="4" customFormat="1" ht="15" customHeight="1">
      <c r="A34" s="37" t="s">
        <v>44</v>
      </c>
      <c r="B34" s="25"/>
      <c r="C34" s="26" t="s">
        <v>58</v>
      </c>
      <c r="D34" s="25"/>
      <c r="E34" s="26" t="s">
        <v>48</v>
      </c>
      <c r="F34" s="26" t="s">
        <v>49</v>
      </c>
      <c r="G34" s="26" t="s">
        <v>59</v>
      </c>
      <c r="H34" s="26" t="s">
        <v>81</v>
      </c>
    </row>
    <row r="35" s="4" customFormat="1" ht="15" customHeight="1">
      <c r="A35" s="37" t="s">
        <v>82</v>
      </c>
      <c r="B35" s="25"/>
      <c r="C35" s="25">
        <f>H7</f>
        <v>5.2999999999999998</v>
      </c>
      <c r="D35" s="25"/>
      <c r="E35" s="26" t="s">
        <v>40</v>
      </c>
      <c r="F35" s="25">
        <v>8</v>
      </c>
      <c r="G35" s="25">
        <f>C35*F35</f>
        <v>42.399999999999999</v>
      </c>
      <c r="H35" s="25"/>
    </row>
    <row r="36" s="4" customFormat="1" ht="15" customHeight="1">
      <c r="A36" s="37" t="s">
        <v>83</v>
      </c>
      <c r="B36" s="25"/>
      <c r="C36" s="25">
        <f>H7</f>
        <v>5.2999999999999998</v>
      </c>
      <c r="D36" s="25"/>
      <c r="E36" s="26" t="s">
        <v>40</v>
      </c>
      <c r="F36" s="25">
        <v>8</v>
      </c>
      <c r="G36" s="25">
        <f>C36*F36</f>
        <v>42.399999999999999</v>
      </c>
      <c r="H36" s="25"/>
    </row>
    <row r="37" s="4" customFormat="1" ht="15" customHeight="1">
      <c r="A37" s="37" t="s">
        <v>84</v>
      </c>
      <c r="B37" s="25"/>
      <c r="C37" s="25">
        <f>H7</f>
        <v>5.2999999999999998</v>
      </c>
      <c r="D37" s="25"/>
      <c r="E37" s="26" t="s">
        <v>40</v>
      </c>
      <c r="F37" s="25">
        <v>2</v>
      </c>
      <c r="G37" s="25">
        <f>C37*F37</f>
        <v>10.6</v>
      </c>
      <c r="H37" s="25"/>
    </row>
    <row r="38" s="4" customFormat="1" ht="15" customHeight="1">
      <c r="A38" s="40" t="s">
        <v>85</v>
      </c>
      <c r="B38" s="41"/>
      <c r="C38" s="41"/>
      <c r="D38" s="41"/>
      <c r="E38" s="41"/>
      <c r="F38" s="42"/>
      <c r="G38" s="46">
        <f>SUM(G35:G37)</f>
        <v>95.399999999999991</v>
      </c>
      <c r="H38" s="47"/>
    </row>
    <row r="39" s="4" customFormat="1" ht="15" customHeight="1">
      <c r="A39" s="56" t="s">
        <v>86</v>
      </c>
      <c r="B39" s="57" t="s">
        <v>87</v>
      </c>
      <c r="C39" s="58"/>
      <c r="D39" s="58"/>
      <c r="E39" s="58"/>
      <c r="F39" s="59"/>
      <c r="G39" s="59">
        <f>G38+G32</f>
        <v>393.67999999999995</v>
      </c>
      <c r="H39" s="60"/>
    </row>
    <row r="40" s="4" customFormat="1" ht="15" customHeight="1">
      <c r="A40" s="61" t="s">
        <v>88</v>
      </c>
      <c r="B40" s="62"/>
      <c r="C40" s="62"/>
      <c r="D40" s="62"/>
      <c r="E40" s="62"/>
      <c r="F40" s="62"/>
      <c r="G40" s="63"/>
      <c r="H40" s="64"/>
    </row>
    <row r="41" s="4" customFormat="1" ht="15" customHeight="1">
      <c r="A41" s="65" t="s">
        <v>89</v>
      </c>
      <c r="B41" s="66" t="s">
        <v>90</v>
      </c>
      <c r="C41" s="67"/>
      <c r="D41" s="67"/>
      <c r="E41" s="67"/>
      <c r="F41" s="68"/>
      <c r="G41" s="25">
        <f>G39*0.1</f>
        <v>39.367999999999995</v>
      </c>
      <c r="H41" s="27"/>
    </row>
    <row r="42" s="4" customFormat="1" ht="15" customHeight="1">
      <c r="A42" s="65" t="s">
        <v>91</v>
      </c>
      <c r="B42" s="69" t="s">
        <v>92</v>
      </c>
      <c r="C42" s="70"/>
      <c r="D42" s="70"/>
      <c r="E42" s="70"/>
      <c r="F42" s="71"/>
      <c r="G42" s="25">
        <f>G39*0.12</f>
        <v>47.241599999999991</v>
      </c>
      <c r="H42" s="27"/>
    </row>
    <row r="43" s="4" customFormat="1" ht="15" customHeight="1">
      <c r="A43" s="72"/>
      <c r="B43" s="73"/>
      <c r="C43" s="74"/>
      <c r="D43" s="74"/>
      <c r="E43" s="74"/>
      <c r="F43" s="75"/>
      <c r="G43" s="76">
        <f>G41+G42</f>
        <v>86.609599999999986</v>
      </c>
      <c r="H43" s="72"/>
    </row>
    <row r="44" s="4" customFormat="1" ht="15" customHeight="1">
      <c r="A44" s="77" t="s">
        <v>93</v>
      </c>
      <c r="B44" s="78"/>
      <c r="C44" s="78"/>
      <c r="D44" s="78"/>
      <c r="E44" s="78"/>
      <c r="F44" s="78"/>
      <c r="G44" s="78"/>
      <c r="H44" s="79"/>
    </row>
    <row r="45" s="4" customFormat="1" ht="15" customHeight="1">
      <c r="A45" s="80" t="s">
        <v>94</v>
      </c>
      <c r="B45" s="66" t="s">
        <v>95</v>
      </c>
      <c r="C45" s="67"/>
      <c r="D45" s="67"/>
      <c r="E45" s="67"/>
      <c r="F45" s="68"/>
      <c r="G45" s="25">
        <f>(G39+G43)*0.2</f>
        <v>96.057919999999996</v>
      </c>
      <c r="H45" s="27"/>
    </row>
    <row r="46" s="4" customFormat="1" ht="15" customHeight="1">
      <c r="A46" s="80" t="s">
        <v>96</v>
      </c>
      <c r="B46" s="66" t="s">
        <v>97</v>
      </c>
      <c r="C46" s="67"/>
      <c r="D46" s="67"/>
      <c r="E46" s="67"/>
      <c r="F46" s="68"/>
      <c r="G46" s="25">
        <f>(G39+G43+G45)*0.16</f>
        <v>92.21560319999999</v>
      </c>
      <c r="H46" s="27"/>
    </row>
    <row r="47" s="4" customFormat="1" ht="15" customHeight="1">
      <c r="A47" s="80" t="s">
        <v>98</v>
      </c>
      <c r="B47" s="81" t="s">
        <v>99</v>
      </c>
      <c r="C47" s="82"/>
      <c r="D47" s="82"/>
      <c r="E47" s="82"/>
      <c r="F47" s="83"/>
      <c r="G47" s="25">
        <f>(G39+G43+G45+G46)*0.02</f>
        <v>13.371262463999999</v>
      </c>
      <c r="H47" s="27"/>
    </row>
    <row r="48" s="6" customFormat="1" ht="15" customHeight="1">
      <c r="A48" s="84" t="s">
        <v>100</v>
      </c>
      <c r="B48" s="85"/>
      <c r="C48" s="86"/>
      <c r="D48" s="86"/>
      <c r="E48" s="86"/>
      <c r="F48" s="87"/>
      <c r="G48" s="88">
        <f>G47+G46+G45+G43+G39</f>
        <v>681.93438566399993</v>
      </c>
      <c r="H48" s="89"/>
    </row>
  </sheetData>
  <mergeCells count="16">
    <mergeCell ref="B45:F45"/>
    <mergeCell ref="B43:F43"/>
    <mergeCell ref="B46:F46"/>
    <mergeCell ref="B47:F47"/>
    <mergeCell ref="E11:H13"/>
    <mergeCell ref="A16:H16"/>
    <mergeCell ref="A33:H33"/>
    <mergeCell ref="A40:H40"/>
    <mergeCell ref="A44:H44"/>
    <mergeCell ref="B41:F41"/>
    <mergeCell ref="B42:F42"/>
    <mergeCell ref="A4:H4"/>
    <mergeCell ref="A5:C14"/>
    <mergeCell ref="F9:H9"/>
    <mergeCell ref="F5:H5"/>
    <mergeCell ref="A15:H15"/>
  </mergeCells>
  <printOptions horizontalCentered="1"/>
  <pageMargins left="0.25" right="0.25" top="0.25" bottom="0.25" header="0.3006944" footer="0.3006944"/>
  <pageSetup r:id="rId1" orientation="portrait"/>
  <drawing r:id="rId2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zoomScaleNormal="100" workbookViewId="0" topLeftCell="A5"/>
  </sheetViews>
  <sheetFormatPr defaultColWidth="10.75" defaultRowHeight="15" customHeight="1"/>
  <cols>
    <col min="1" max="2" width="20.75" style="22" customWidth="1"/>
    <col min="3" max="3" width="10.75" style="22" customWidth="1"/>
    <col min="4" max="4" width="10.75" style="22" hidden="1" customWidth="1"/>
    <col min="5" max="6" width="10.75" style="22" customWidth="1"/>
    <col min="7" max="8" width="12.75" style="22" customWidth="1"/>
    <col min="9" max="11" width="10.75" style="22" customWidth="1"/>
    <col min="12" max="16384" width="10.75" style="22"/>
  </cols>
  <sheetData>
    <row r="4" ht="24.9" customHeight="1">
      <c r="A4" s="23" t="s">
        <v>106</v>
      </c>
      <c r="B4" s="24"/>
      <c r="C4" s="24"/>
      <c r="D4" s="24"/>
      <c r="E4" s="24"/>
      <c r="F4" s="24"/>
      <c r="G4" s="24"/>
      <c r="H4" s="24"/>
    </row>
    <row r="5" s="4" customFormat="1" ht="15" customHeight="1">
      <c r="A5" s="25" t="s">
        <v>19</v>
      </c>
      <c r="B5" s="25"/>
      <c r="C5" s="25"/>
      <c r="D5" s="25"/>
      <c r="E5" s="26" t="s">
        <v>28</v>
      </c>
      <c r="F5" s="25" t="s">
        <v>17</v>
      </c>
      <c r="G5" s="25"/>
      <c r="H5" s="25"/>
    </row>
    <row r="6" s="4" customFormat="1" ht="15" customHeight="1">
      <c r="A6" s="25"/>
      <c r="B6" s="25"/>
      <c r="C6" s="25"/>
      <c r="D6" s="25"/>
      <c r="E6" s="26" t="s">
        <v>29</v>
      </c>
      <c r="F6" s="25" t="s">
        <v>23</v>
      </c>
      <c r="G6" s="26" t="s">
        <v>30</v>
      </c>
      <c r="H6" s="25" t="s">
        <v>16</v>
      </c>
    </row>
    <row r="7" s="4" customFormat="1" ht="15" customHeight="1">
      <c r="A7" s="25"/>
      <c r="B7" s="25"/>
      <c r="C7" s="25"/>
      <c r="D7" s="25"/>
      <c r="E7" s="26" t="s">
        <v>31</v>
      </c>
      <c r="F7" s="25" t="s">
        <v>107</v>
      </c>
      <c r="G7" s="26" t="s">
        <v>33</v>
      </c>
      <c r="H7" s="25">
        <f>F7*H6</f>
        <v>11.59</v>
      </c>
    </row>
    <row r="8" s="4" customFormat="1" ht="15" customHeight="1">
      <c r="A8" s="25"/>
      <c r="B8" s="25"/>
      <c r="C8" s="25"/>
      <c r="D8" s="25"/>
      <c r="E8" s="26" t="s">
        <v>34</v>
      </c>
      <c r="F8" s="25" t="s">
        <v>35</v>
      </c>
      <c r="G8" s="26" t="s">
        <v>36</v>
      </c>
      <c r="H8" s="25" t="s">
        <v>35</v>
      </c>
    </row>
    <row r="9" s="4" customFormat="1" ht="15" customHeight="1">
      <c r="A9" s="25"/>
      <c r="B9" s="25"/>
      <c r="C9" s="25"/>
      <c r="D9" s="25"/>
      <c r="E9" s="26" t="s">
        <v>37</v>
      </c>
      <c r="F9" s="25" t="s">
        <v>19</v>
      </c>
      <c r="G9" s="25"/>
      <c r="H9" s="25"/>
    </row>
    <row r="10" s="4" customFormat="1" ht="15" customHeight="1">
      <c r="A10" s="25"/>
      <c r="B10" s="25"/>
      <c r="C10" s="25"/>
      <c r="D10" s="25"/>
      <c r="E10" s="26" t="s">
        <v>38</v>
      </c>
      <c r="F10" s="25"/>
      <c r="G10" s="26" t="s">
        <v>39</v>
      </c>
      <c r="H10" s="27">
        <f>H14/H6</f>
        <v>1262.6733669119999</v>
      </c>
    </row>
    <row r="11" s="4" customFormat="1" ht="15" customHeight="1">
      <c r="A11" s="25"/>
      <c r="B11" s="25"/>
      <c r="C11" s="25"/>
      <c r="D11" s="25"/>
      <c r="E11" s="27" t="s">
        <v>19</v>
      </c>
      <c r="F11" s="27"/>
      <c r="G11" s="27"/>
      <c r="H11" s="27"/>
    </row>
    <row r="12" s="4" customFormat="1" ht="15" customHeight="1">
      <c r="A12" s="25"/>
      <c r="B12" s="25"/>
      <c r="C12" s="25"/>
      <c r="D12" s="25"/>
      <c r="E12" s="27"/>
      <c r="F12" s="27"/>
      <c r="G12" s="27"/>
      <c r="H12" s="27"/>
    </row>
    <row r="13" s="4" customFormat="1" ht="15" customHeight="1">
      <c r="A13" s="25"/>
      <c r="B13" s="25"/>
      <c r="C13" s="25"/>
      <c r="D13" s="25"/>
      <c r="E13" s="27"/>
      <c r="F13" s="27"/>
      <c r="G13" s="27"/>
      <c r="H13" s="27"/>
    </row>
    <row r="14" s="4" customFormat="1" ht="15" customHeight="1">
      <c r="A14" s="28"/>
      <c r="B14" s="28"/>
      <c r="C14" s="28"/>
      <c r="D14" s="28"/>
      <c r="E14" s="29" t="s">
        <v>40</v>
      </c>
      <c r="F14" s="30">
        <f>H14/H7</f>
        <v>108.94507048421052</v>
      </c>
      <c r="G14" s="29" t="s">
        <v>41</v>
      </c>
      <c r="H14" s="30">
        <f>G48</f>
        <v>1262.6733669119999</v>
      </c>
    </row>
    <row r="15" s="4" customFormat="1" ht="15" customHeight="1">
      <c r="A15" s="31" t="s">
        <v>42</v>
      </c>
      <c r="B15" s="32"/>
      <c r="C15" s="32"/>
      <c r="D15" s="32"/>
      <c r="E15" s="32"/>
      <c r="F15" s="32"/>
      <c r="G15" s="32"/>
      <c r="H15" s="33"/>
    </row>
    <row r="16" s="5" customFormat="1" ht="15" customHeight="1">
      <c r="A16" s="34" t="s">
        <v>43</v>
      </c>
      <c r="B16" s="35"/>
      <c r="C16" s="35"/>
      <c r="D16" s="35"/>
      <c r="E16" s="35"/>
      <c r="F16" s="35"/>
      <c r="G16" s="35"/>
      <c r="H16" s="36"/>
    </row>
    <row r="17" s="4" customFormat="1" ht="15" customHeight="1">
      <c r="A17" s="37" t="s">
        <v>44</v>
      </c>
      <c r="B17" s="26" t="s">
        <v>45</v>
      </c>
      <c r="C17" s="26" t="s">
        <v>46</v>
      </c>
      <c r="D17" s="25" t="s">
        <v>47</v>
      </c>
      <c r="E17" s="26" t="s">
        <v>48</v>
      </c>
      <c r="F17" s="26" t="s">
        <v>49</v>
      </c>
      <c r="G17" s="26" t="s">
        <v>41</v>
      </c>
      <c r="H17" s="26" t="s">
        <v>50</v>
      </c>
    </row>
    <row r="18" s="4" customFormat="1" ht="15" customHeight="1">
      <c r="A18" s="27" t="s">
        <v>51</v>
      </c>
      <c r="B18" s="25"/>
      <c r="C18" s="38" t="s">
        <v>108</v>
      </c>
      <c r="D18" s="38" t="s">
        <v>53</v>
      </c>
      <c r="E18" s="25" t="s">
        <v>54</v>
      </c>
      <c r="F18" s="38" t="s">
        <v>55</v>
      </c>
      <c r="G18" s="25">
        <f>D18*C18*F18</f>
        <v>269.35999999999996</v>
      </c>
      <c r="H18" s="25"/>
    </row>
    <row r="19" s="4" customFormat="1" ht="15" customHeight="1">
      <c r="A19" s="39"/>
      <c r="B19" s="25"/>
      <c r="C19" s="25"/>
      <c r="D19" s="25"/>
      <c r="E19" s="25"/>
      <c r="F19" s="25"/>
      <c r="G19" s="25"/>
      <c r="H19" s="25"/>
    </row>
    <row r="20" s="4" customFormat="1" ht="15" customHeight="1">
      <c r="A20" s="40" t="s">
        <v>56</v>
      </c>
      <c r="B20" s="41"/>
      <c r="C20" s="41"/>
      <c r="D20" s="41"/>
      <c r="E20" s="41"/>
      <c r="F20" s="42"/>
      <c r="G20" s="43">
        <f>SUM(G18:G19)</f>
        <v>269.35999999999996</v>
      </c>
      <c r="H20" s="43"/>
    </row>
    <row r="21" s="4" customFormat="1" ht="15" customHeight="1">
      <c r="A21" s="44" t="s">
        <v>57</v>
      </c>
      <c r="B21" s="25"/>
      <c r="C21" s="25"/>
      <c r="D21" s="25"/>
      <c r="E21" s="25"/>
      <c r="F21" s="25"/>
      <c r="G21" s="25"/>
      <c r="H21" s="25"/>
    </row>
    <row r="22" s="4" customFormat="1" ht="15" customHeight="1">
      <c r="A22" s="37" t="s">
        <v>44</v>
      </c>
      <c r="B22" s="26" t="s">
        <v>45</v>
      </c>
      <c r="C22" s="26" t="s">
        <v>58</v>
      </c>
      <c r="D22" s="25" t="s">
        <v>47</v>
      </c>
      <c r="E22" s="26" t="s">
        <v>48</v>
      </c>
      <c r="F22" s="26" t="s">
        <v>49</v>
      </c>
      <c r="G22" s="26" t="s">
        <v>59</v>
      </c>
      <c r="H22" s="26" t="s">
        <v>60</v>
      </c>
    </row>
    <row r="23" s="4" customFormat="1" ht="15" customHeight="1">
      <c r="A23" s="27" t="s">
        <v>61</v>
      </c>
      <c r="B23" s="25" t="s">
        <v>62</v>
      </c>
      <c r="C23" s="38" t="s">
        <v>109</v>
      </c>
      <c r="D23" s="38" t="s">
        <v>53</v>
      </c>
      <c r="E23" s="25" t="s">
        <v>64</v>
      </c>
      <c r="F23" s="38" t="s">
        <v>65</v>
      </c>
      <c r="G23" s="25">
        <f>D23*C23*F23</f>
        <v>213.36000000000001</v>
      </c>
      <c r="H23" s="25"/>
    </row>
    <row r="24" s="4" customFormat="1" ht="15" customHeight="1">
      <c r="A24" s="40" t="s">
        <v>66</v>
      </c>
      <c r="B24" s="41"/>
      <c r="C24" s="41"/>
      <c r="D24" s="41"/>
      <c r="E24" s="41"/>
      <c r="F24" s="42"/>
      <c r="G24" s="43">
        <f>SUM(G23)</f>
        <v>213.36000000000001</v>
      </c>
      <c r="H24" s="43"/>
      <c r="L24" s="45"/>
    </row>
    <row r="25" s="4" customFormat="1" ht="15" customHeight="1">
      <c r="A25" s="44" t="s">
        <v>67</v>
      </c>
      <c r="B25" s="25"/>
      <c r="C25" s="25"/>
      <c r="D25" s="25"/>
      <c r="E25" s="25"/>
      <c r="F25" s="25"/>
      <c r="G25" s="25"/>
      <c r="H25" s="25"/>
    </row>
    <row r="26" s="4" customFormat="1" ht="15" customHeight="1">
      <c r="A26" s="37" t="s">
        <v>44</v>
      </c>
      <c r="B26" s="26" t="s">
        <v>45</v>
      </c>
      <c r="C26" s="26" t="s">
        <v>58</v>
      </c>
      <c r="D26" s="25" t="s">
        <v>47</v>
      </c>
      <c r="E26" s="26" t="s">
        <v>48</v>
      </c>
      <c r="F26" s="26" t="s">
        <v>49</v>
      </c>
      <c r="G26" s="26" t="s">
        <v>59</v>
      </c>
      <c r="H26" s="26" t="s">
        <v>60</v>
      </c>
    </row>
    <row r="27" s="4" customFormat="1" ht="15" customHeight="1">
      <c r="A27" s="27" t="s">
        <v>68</v>
      </c>
      <c r="B27" s="25" t="s">
        <v>19</v>
      </c>
      <c r="C27" s="38" t="s">
        <v>105</v>
      </c>
      <c r="D27" s="38" t="s">
        <v>53</v>
      </c>
      <c r="E27" s="25" t="s">
        <v>70</v>
      </c>
      <c r="F27" s="38" t="s">
        <v>71</v>
      </c>
      <c r="G27" s="25">
        <f>D27*C27*F27</f>
        <v>15.199999999999999</v>
      </c>
      <c r="H27" s="25"/>
    </row>
    <row r="28" s="4" customFormat="1" ht="15" customHeight="1">
      <c r="A28" s="27" t="s">
        <v>72</v>
      </c>
      <c r="B28" s="25" t="s">
        <v>19</v>
      </c>
      <c r="C28" s="38" t="s">
        <v>105</v>
      </c>
      <c r="D28" s="38" t="s">
        <v>53</v>
      </c>
      <c r="E28" s="25" t="s">
        <v>73</v>
      </c>
      <c r="F28" s="38" t="s">
        <v>74</v>
      </c>
      <c r="G28" s="25">
        <f>D28*C28*F28</f>
        <v>15.6</v>
      </c>
      <c r="H28" s="25"/>
    </row>
    <row r="29" s="4" customFormat="1" ht="15" customHeight="1">
      <c r="A29" s="27" t="s">
        <v>75</v>
      </c>
      <c r="B29" s="25" t="s">
        <v>19</v>
      </c>
      <c r="C29" s="38" t="s">
        <v>105</v>
      </c>
      <c r="D29" s="38" t="s">
        <v>53</v>
      </c>
      <c r="E29" s="25" t="s">
        <v>73</v>
      </c>
      <c r="F29" s="38" t="s">
        <v>76</v>
      </c>
      <c r="G29" s="25">
        <f>D29*C29*F29</f>
        <v>6.7999999999999998</v>
      </c>
      <c r="H29" s="25"/>
    </row>
    <row r="30" s="4" customFormat="1" ht="15" customHeight="1">
      <c r="A30" s="39"/>
      <c r="B30" s="28"/>
      <c r="C30" s="28"/>
      <c r="D30" s="28"/>
      <c r="E30" s="28"/>
      <c r="F30" s="28"/>
      <c r="G30" s="25"/>
      <c r="H30" s="25"/>
    </row>
    <row r="31" s="4" customFormat="1" ht="15" customHeight="1">
      <c r="A31" s="40" t="s">
        <v>77</v>
      </c>
      <c r="B31" s="41"/>
      <c r="C31" s="41"/>
      <c r="D31" s="41"/>
      <c r="E31" s="41"/>
      <c r="F31" s="42"/>
      <c r="G31" s="46">
        <f>SUM(G27:G30)</f>
        <v>37.599999999999994</v>
      </c>
      <c r="H31" s="47"/>
    </row>
    <row r="32" s="4" customFormat="1" ht="15" customHeight="1">
      <c r="A32" s="48" t="s">
        <v>78</v>
      </c>
      <c r="B32" s="49" t="s">
        <v>79</v>
      </c>
      <c r="C32" s="50"/>
      <c r="D32" s="50"/>
      <c r="E32" s="50"/>
      <c r="F32" s="51"/>
      <c r="G32" s="51">
        <f>G31+G24+G20</f>
        <v>520.31999999999994</v>
      </c>
      <c r="H32" s="52"/>
    </row>
    <row r="33" s="4" customFormat="1" ht="15" customHeight="1">
      <c r="A33" s="53" t="s">
        <v>80</v>
      </c>
      <c r="B33" s="54"/>
      <c r="C33" s="54"/>
      <c r="D33" s="54"/>
      <c r="E33" s="54"/>
      <c r="F33" s="54"/>
      <c r="G33" s="54"/>
      <c r="H33" s="55"/>
    </row>
    <row r="34" s="4" customFormat="1" ht="15" customHeight="1">
      <c r="A34" s="37" t="s">
        <v>44</v>
      </c>
      <c r="B34" s="25"/>
      <c r="C34" s="26" t="s">
        <v>58</v>
      </c>
      <c r="D34" s="25"/>
      <c r="E34" s="26" t="s">
        <v>48</v>
      </c>
      <c r="F34" s="26" t="s">
        <v>49</v>
      </c>
      <c r="G34" s="26" t="s">
        <v>59</v>
      </c>
      <c r="H34" s="26" t="s">
        <v>81</v>
      </c>
    </row>
    <row r="35" s="4" customFormat="1" ht="15" customHeight="1">
      <c r="A35" s="37" t="s">
        <v>82</v>
      </c>
      <c r="B35" s="25"/>
      <c r="C35" s="25">
        <f>H7</f>
        <v>11.59</v>
      </c>
      <c r="D35" s="25"/>
      <c r="E35" s="26" t="s">
        <v>40</v>
      </c>
      <c r="F35" s="25">
        <v>8</v>
      </c>
      <c r="G35" s="25">
        <f>C35*F35</f>
        <v>92.719999999999999</v>
      </c>
      <c r="H35" s="25"/>
    </row>
    <row r="36" s="4" customFormat="1" ht="15" customHeight="1">
      <c r="A36" s="37" t="s">
        <v>83</v>
      </c>
      <c r="B36" s="25"/>
      <c r="C36" s="25">
        <f>H7</f>
        <v>11.59</v>
      </c>
      <c r="D36" s="25"/>
      <c r="E36" s="26" t="s">
        <v>40</v>
      </c>
      <c r="F36" s="25">
        <v>8</v>
      </c>
      <c r="G36" s="25">
        <f>C36*F36</f>
        <v>92.719999999999999</v>
      </c>
      <c r="H36" s="25"/>
    </row>
    <row r="37" s="4" customFormat="1" ht="15" customHeight="1">
      <c r="A37" s="37" t="s">
        <v>84</v>
      </c>
      <c r="B37" s="25"/>
      <c r="C37" s="25">
        <f>H7</f>
        <v>11.59</v>
      </c>
      <c r="D37" s="25"/>
      <c r="E37" s="26" t="s">
        <v>40</v>
      </c>
      <c r="F37" s="25">
        <v>2</v>
      </c>
      <c r="G37" s="25">
        <f>C37*F37</f>
        <v>23.18</v>
      </c>
      <c r="H37" s="25"/>
    </row>
    <row r="38" s="4" customFormat="1" ht="15" customHeight="1">
      <c r="A38" s="40" t="s">
        <v>85</v>
      </c>
      <c r="B38" s="41"/>
      <c r="C38" s="41"/>
      <c r="D38" s="41"/>
      <c r="E38" s="41"/>
      <c r="F38" s="42"/>
      <c r="G38" s="46">
        <f>SUM(G35:G37)</f>
        <v>208.62</v>
      </c>
      <c r="H38" s="47"/>
    </row>
    <row r="39" s="4" customFormat="1" ht="15" customHeight="1">
      <c r="A39" s="56" t="s">
        <v>86</v>
      </c>
      <c r="B39" s="57" t="s">
        <v>87</v>
      </c>
      <c r="C39" s="58"/>
      <c r="D39" s="58"/>
      <c r="E39" s="58"/>
      <c r="F39" s="59"/>
      <c r="G39" s="59">
        <f>G38+G32</f>
        <v>728.93999999999994</v>
      </c>
      <c r="H39" s="60"/>
    </row>
    <row r="40" s="4" customFormat="1" ht="15" customHeight="1">
      <c r="A40" s="61" t="s">
        <v>88</v>
      </c>
      <c r="B40" s="62"/>
      <c r="C40" s="62"/>
      <c r="D40" s="62"/>
      <c r="E40" s="62"/>
      <c r="F40" s="62"/>
      <c r="G40" s="63"/>
      <c r="H40" s="64"/>
    </row>
    <row r="41" s="4" customFormat="1" ht="15" customHeight="1">
      <c r="A41" s="65" t="s">
        <v>89</v>
      </c>
      <c r="B41" s="66" t="s">
        <v>90</v>
      </c>
      <c r="C41" s="67"/>
      <c r="D41" s="67"/>
      <c r="E41" s="67"/>
      <c r="F41" s="68"/>
      <c r="G41" s="25">
        <f>G39*0.1</f>
        <v>72.893999999999991</v>
      </c>
      <c r="H41" s="27"/>
    </row>
    <row r="42" s="4" customFormat="1" ht="15" customHeight="1">
      <c r="A42" s="65" t="s">
        <v>91</v>
      </c>
      <c r="B42" s="69" t="s">
        <v>92</v>
      </c>
      <c r="C42" s="70"/>
      <c r="D42" s="70"/>
      <c r="E42" s="70"/>
      <c r="F42" s="71"/>
      <c r="G42" s="25">
        <f>G39*0.12</f>
        <v>87.472799999999992</v>
      </c>
      <c r="H42" s="27"/>
    </row>
    <row r="43" s="4" customFormat="1" ht="15" customHeight="1">
      <c r="A43" s="72"/>
      <c r="B43" s="73"/>
      <c r="C43" s="74"/>
      <c r="D43" s="74"/>
      <c r="E43" s="74"/>
      <c r="F43" s="75"/>
      <c r="G43" s="76">
        <f>G41+G42</f>
        <v>160.36679999999998</v>
      </c>
      <c r="H43" s="72"/>
    </row>
    <row r="44" s="4" customFormat="1" ht="15" customHeight="1">
      <c r="A44" s="77" t="s">
        <v>93</v>
      </c>
      <c r="B44" s="78"/>
      <c r="C44" s="78"/>
      <c r="D44" s="78"/>
      <c r="E44" s="78"/>
      <c r="F44" s="78"/>
      <c r="G44" s="78"/>
      <c r="H44" s="79"/>
    </row>
    <row r="45" s="4" customFormat="1" ht="15" customHeight="1">
      <c r="A45" s="80" t="s">
        <v>94</v>
      </c>
      <c r="B45" s="66" t="s">
        <v>95</v>
      </c>
      <c r="C45" s="67"/>
      <c r="D45" s="67"/>
      <c r="E45" s="67"/>
      <c r="F45" s="68"/>
      <c r="G45" s="25">
        <f>(G39+G43)*0.2</f>
        <v>177.86135999999999</v>
      </c>
      <c r="H45" s="27"/>
    </row>
    <row r="46" s="4" customFormat="1" ht="15" customHeight="1">
      <c r="A46" s="80" t="s">
        <v>96</v>
      </c>
      <c r="B46" s="66" t="s">
        <v>97</v>
      </c>
      <c r="C46" s="67"/>
      <c r="D46" s="67"/>
      <c r="E46" s="67"/>
      <c r="F46" s="68"/>
      <c r="G46" s="25">
        <f>(G39+G43+G45)*0.16</f>
        <v>170.74690559999999</v>
      </c>
      <c r="H46" s="27"/>
    </row>
    <row r="47" s="4" customFormat="1" ht="15" customHeight="1">
      <c r="A47" s="80" t="s">
        <v>98</v>
      </c>
      <c r="B47" s="81" t="s">
        <v>99</v>
      </c>
      <c r="C47" s="82"/>
      <c r="D47" s="82"/>
      <c r="E47" s="82"/>
      <c r="F47" s="83"/>
      <c r="G47" s="25">
        <f>(G39+G43+G45+G46)*0.02</f>
        <v>24.758301312</v>
      </c>
      <c r="H47" s="27"/>
    </row>
    <row r="48" s="6" customFormat="1" ht="15" customHeight="1">
      <c r="A48" s="84" t="s">
        <v>100</v>
      </c>
      <c r="B48" s="85"/>
      <c r="C48" s="86"/>
      <c r="D48" s="86"/>
      <c r="E48" s="86"/>
      <c r="F48" s="87"/>
      <c r="G48" s="88">
        <f>G47+G46+G45+G43+G39</f>
        <v>1262.6733669119999</v>
      </c>
      <c r="H48" s="89"/>
    </row>
  </sheetData>
  <mergeCells count="16">
    <mergeCell ref="B45:F45"/>
    <mergeCell ref="B43:F43"/>
    <mergeCell ref="B46:F46"/>
    <mergeCell ref="B47:F47"/>
    <mergeCell ref="E11:H13"/>
    <mergeCell ref="A16:H16"/>
    <mergeCell ref="A33:H33"/>
    <mergeCell ref="A40:H40"/>
    <mergeCell ref="A44:H44"/>
    <mergeCell ref="B41:F41"/>
    <mergeCell ref="B42:F42"/>
    <mergeCell ref="A4:H4"/>
    <mergeCell ref="A5:C14"/>
    <mergeCell ref="F9:H9"/>
    <mergeCell ref="F5:H5"/>
    <mergeCell ref="A15:H15"/>
  </mergeCells>
  <printOptions horizontalCentered="1"/>
  <pageMargins left="0.25" right="0.25" top="0.25" bottom="0.25" header="0.3006944" footer="0.3006944"/>
  <pageSetup r:id="rId1" orientation="portrait"/>
  <drawing r:id="rId2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zoomScaleNormal="100" workbookViewId="0" topLeftCell="A2"/>
  </sheetViews>
  <sheetFormatPr defaultColWidth="10.75" defaultRowHeight="15" customHeight="1"/>
  <cols>
    <col min="1" max="2" width="20.75" style="22" customWidth="1"/>
    <col min="3" max="3" width="10.75" style="22" customWidth="1"/>
    <col min="4" max="4" width="10.75" style="22" hidden="1" customWidth="1"/>
    <col min="5" max="6" width="10.75" style="22" customWidth="1"/>
    <col min="7" max="8" width="12.75" style="22" customWidth="1"/>
    <col min="9" max="11" width="10.75" style="22" customWidth="1"/>
    <col min="12" max="16384" width="10.75" style="22"/>
  </cols>
  <sheetData>
    <row r="4" ht="24.9" customHeight="1">
      <c r="A4" s="23" t="s">
        <v>110</v>
      </c>
      <c r="B4" s="24"/>
      <c r="C4" s="24"/>
      <c r="D4" s="24"/>
      <c r="E4" s="24"/>
      <c r="F4" s="24"/>
      <c r="G4" s="24"/>
      <c r="H4" s="24"/>
    </row>
    <row r="5" s="4" customFormat="1" ht="15" customHeight="1">
      <c r="A5" s="25" t="s">
        <v>19</v>
      </c>
      <c r="B5" s="25"/>
      <c r="C5" s="25"/>
      <c r="D5" s="25"/>
      <c r="E5" s="26" t="s">
        <v>28</v>
      </c>
      <c r="F5" s="25" t="s">
        <v>17</v>
      </c>
      <c r="G5" s="25"/>
      <c r="H5" s="25"/>
    </row>
    <row r="6" s="4" customFormat="1" ht="15" customHeight="1">
      <c r="A6" s="25"/>
      <c r="B6" s="25"/>
      <c r="C6" s="25"/>
      <c r="D6" s="25"/>
      <c r="E6" s="26" t="s">
        <v>29</v>
      </c>
      <c r="F6" s="25" t="s">
        <v>25</v>
      </c>
      <c r="G6" s="26" t="s">
        <v>30</v>
      </c>
      <c r="H6" s="25" t="s">
        <v>16</v>
      </c>
    </row>
    <row r="7" s="4" customFormat="1" ht="15" customHeight="1">
      <c r="A7" s="25"/>
      <c r="B7" s="25"/>
      <c r="C7" s="25"/>
      <c r="D7" s="25"/>
      <c r="E7" s="26" t="s">
        <v>31</v>
      </c>
      <c r="F7" s="25" t="s">
        <v>111</v>
      </c>
      <c r="G7" s="26" t="s">
        <v>33</v>
      </c>
      <c r="H7" s="25">
        <f>F7*H6</f>
        <v>5.2199999999999998</v>
      </c>
    </row>
    <row r="8" s="4" customFormat="1" ht="15" customHeight="1">
      <c r="A8" s="25"/>
      <c r="B8" s="25"/>
      <c r="C8" s="25"/>
      <c r="D8" s="25"/>
      <c r="E8" s="26" t="s">
        <v>34</v>
      </c>
      <c r="F8" s="25" t="s">
        <v>35</v>
      </c>
      <c r="G8" s="26" t="s">
        <v>36</v>
      </c>
      <c r="H8" s="25" t="s">
        <v>35</v>
      </c>
    </row>
    <row r="9" s="4" customFormat="1" ht="15" customHeight="1">
      <c r="A9" s="25"/>
      <c r="B9" s="25"/>
      <c r="C9" s="25"/>
      <c r="D9" s="25"/>
      <c r="E9" s="26" t="s">
        <v>37</v>
      </c>
      <c r="F9" s="25" t="s">
        <v>19</v>
      </c>
      <c r="G9" s="25"/>
      <c r="H9" s="25"/>
    </row>
    <row r="10" s="4" customFormat="1" ht="15" customHeight="1">
      <c r="A10" s="25"/>
      <c r="B10" s="25"/>
      <c r="C10" s="25"/>
      <c r="D10" s="25"/>
      <c r="E10" s="26" t="s">
        <v>38</v>
      </c>
      <c r="F10" s="25"/>
      <c r="G10" s="26" t="s">
        <v>39</v>
      </c>
      <c r="H10" s="27">
        <f>H14/H6</f>
        <v>672.5285136</v>
      </c>
    </row>
    <row r="11" s="4" customFormat="1" ht="15" customHeight="1">
      <c r="A11" s="25"/>
      <c r="B11" s="25"/>
      <c r="C11" s="25"/>
      <c r="D11" s="25"/>
      <c r="E11" s="27" t="s">
        <v>19</v>
      </c>
      <c r="F11" s="27"/>
      <c r="G11" s="27"/>
      <c r="H11" s="27"/>
    </row>
    <row r="12" s="4" customFormat="1" ht="15" customHeight="1">
      <c r="A12" s="25"/>
      <c r="B12" s="25"/>
      <c r="C12" s="25"/>
      <c r="D12" s="25"/>
      <c r="E12" s="27"/>
      <c r="F12" s="27"/>
      <c r="G12" s="27"/>
      <c r="H12" s="27"/>
    </row>
    <row r="13" s="4" customFormat="1" ht="15" customHeight="1">
      <c r="A13" s="25"/>
      <c r="B13" s="25"/>
      <c r="C13" s="25"/>
      <c r="D13" s="25"/>
      <c r="E13" s="27"/>
      <c r="F13" s="27"/>
      <c r="G13" s="27"/>
      <c r="H13" s="27"/>
    </row>
    <row r="14" s="4" customFormat="1" ht="15" customHeight="1">
      <c r="A14" s="28"/>
      <c r="B14" s="28"/>
      <c r="C14" s="28"/>
      <c r="D14" s="28"/>
      <c r="E14" s="29" t="s">
        <v>40</v>
      </c>
      <c r="F14" s="30">
        <f>H14/H7</f>
        <v>128.83688000000001</v>
      </c>
      <c r="G14" s="29" t="s">
        <v>41</v>
      </c>
      <c r="H14" s="30">
        <f>G48</f>
        <v>672.5285136</v>
      </c>
    </row>
    <row r="15" s="4" customFormat="1" ht="15" customHeight="1">
      <c r="A15" s="31" t="s">
        <v>42</v>
      </c>
      <c r="B15" s="32"/>
      <c r="C15" s="32"/>
      <c r="D15" s="32"/>
      <c r="E15" s="32"/>
      <c r="F15" s="32"/>
      <c r="G15" s="32"/>
      <c r="H15" s="33"/>
    </row>
    <row r="16" s="5" customFormat="1" ht="15" customHeight="1">
      <c r="A16" s="34" t="s">
        <v>43</v>
      </c>
      <c r="B16" s="35"/>
      <c r="C16" s="35"/>
      <c r="D16" s="35"/>
      <c r="E16" s="35"/>
      <c r="F16" s="35"/>
      <c r="G16" s="35"/>
      <c r="H16" s="36"/>
    </row>
    <row r="17" s="4" customFormat="1" ht="15" customHeight="1">
      <c r="A17" s="37" t="s">
        <v>44</v>
      </c>
      <c r="B17" s="26" t="s">
        <v>45</v>
      </c>
      <c r="C17" s="26" t="s">
        <v>46</v>
      </c>
      <c r="D17" s="25" t="s">
        <v>47</v>
      </c>
      <c r="E17" s="26" t="s">
        <v>48</v>
      </c>
      <c r="F17" s="26" t="s">
        <v>49</v>
      </c>
      <c r="G17" s="26" t="s">
        <v>41</v>
      </c>
      <c r="H17" s="26" t="s">
        <v>50</v>
      </c>
    </row>
    <row r="18" s="4" customFormat="1" ht="15" customHeight="1">
      <c r="A18" s="27" t="s">
        <v>51</v>
      </c>
      <c r="B18" s="25"/>
      <c r="C18" s="38" t="s">
        <v>112</v>
      </c>
      <c r="D18" s="38" t="s">
        <v>53</v>
      </c>
      <c r="E18" s="25" t="s">
        <v>54</v>
      </c>
      <c r="F18" s="38" t="s">
        <v>55</v>
      </c>
      <c r="G18" s="25">
        <f>D18*C18*F18</f>
        <v>165.13</v>
      </c>
      <c r="H18" s="25"/>
    </row>
    <row r="19" s="4" customFormat="1" ht="15" customHeight="1">
      <c r="A19" s="39"/>
      <c r="B19" s="25"/>
      <c r="C19" s="25"/>
      <c r="D19" s="25"/>
      <c r="E19" s="25"/>
      <c r="F19" s="25"/>
      <c r="G19" s="25"/>
      <c r="H19" s="25"/>
    </row>
    <row r="20" s="4" customFormat="1" ht="15" customHeight="1">
      <c r="A20" s="40" t="s">
        <v>56</v>
      </c>
      <c r="B20" s="41"/>
      <c r="C20" s="41"/>
      <c r="D20" s="41"/>
      <c r="E20" s="41"/>
      <c r="F20" s="42"/>
      <c r="G20" s="43">
        <f>SUM(G18:G19)</f>
        <v>165.13</v>
      </c>
      <c r="H20" s="43"/>
    </row>
    <row r="21" s="4" customFormat="1" ht="15" customHeight="1">
      <c r="A21" s="44" t="s">
        <v>57</v>
      </c>
      <c r="B21" s="25"/>
      <c r="C21" s="25"/>
      <c r="D21" s="25"/>
      <c r="E21" s="25"/>
      <c r="F21" s="25"/>
      <c r="G21" s="25"/>
      <c r="H21" s="25"/>
    </row>
    <row r="22" s="4" customFormat="1" ht="15" customHeight="1">
      <c r="A22" s="37" t="s">
        <v>44</v>
      </c>
      <c r="B22" s="26" t="s">
        <v>45</v>
      </c>
      <c r="C22" s="26" t="s">
        <v>58</v>
      </c>
      <c r="D22" s="25" t="s">
        <v>47</v>
      </c>
      <c r="E22" s="26" t="s">
        <v>48</v>
      </c>
      <c r="F22" s="26" t="s">
        <v>49</v>
      </c>
      <c r="G22" s="26" t="s">
        <v>59</v>
      </c>
      <c r="H22" s="26" t="s">
        <v>60</v>
      </c>
    </row>
    <row r="23" s="4" customFormat="1" ht="15" customHeight="1">
      <c r="A23" s="27" t="s">
        <v>61</v>
      </c>
      <c r="B23" s="25" t="s">
        <v>62</v>
      </c>
      <c r="C23" s="38" t="s">
        <v>113</v>
      </c>
      <c r="D23" s="38" t="s">
        <v>53</v>
      </c>
      <c r="E23" s="25" t="s">
        <v>64</v>
      </c>
      <c r="F23" s="38" t="s">
        <v>65</v>
      </c>
      <c r="G23" s="25">
        <f>D23*C23*F23</f>
        <v>91.560000000000002</v>
      </c>
      <c r="H23" s="25"/>
    </row>
    <row r="24" s="4" customFormat="1" ht="15" customHeight="1">
      <c r="A24" s="40" t="s">
        <v>66</v>
      </c>
      <c r="B24" s="41"/>
      <c r="C24" s="41"/>
      <c r="D24" s="41"/>
      <c r="E24" s="41"/>
      <c r="F24" s="42"/>
      <c r="G24" s="43">
        <f>SUM(G23)</f>
        <v>91.560000000000002</v>
      </c>
      <c r="H24" s="43"/>
      <c r="L24" s="45"/>
    </row>
    <row r="25" s="4" customFormat="1" ht="15" customHeight="1">
      <c r="A25" s="44" t="s">
        <v>67</v>
      </c>
      <c r="B25" s="25"/>
      <c r="C25" s="25"/>
      <c r="D25" s="25"/>
      <c r="E25" s="25"/>
      <c r="F25" s="25"/>
      <c r="G25" s="25"/>
      <c r="H25" s="25"/>
    </row>
    <row r="26" s="4" customFormat="1" ht="15" customHeight="1">
      <c r="A26" s="37" t="s">
        <v>44</v>
      </c>
      <c r="B26" s="26" t="s">
        <v>45</v>
      </c>
      <c r="C26" s="26" t="s">
        <v>58</v>
      </c>
      <c r="D26" s="25" t="s">
        <v>47</v>
      </c>
      <c r="E26" s="26" t="s">
        <v>48</v>
      </c>
      <c r="F26" s="26" t="s">
        <v>49</v>
      </c>
      <c r="G26" s="26" t="s">
        <v>59</v>
      </c>
      <c r="H26" s="26" t="s">
        <v>60</v>
      </c>
    </row>
    <row r="27" s="4" customFormat="1" ht="15" customHeight="1">
      <c r="A27" s="27" t="s">
        <v>68</v>
      </c>
      <c r="B27" s="25" t="s">
        <v>19</v>
      </c>
      <c r="C27" s="38" t="s">
        <v>105</v>
      </c>
      <c r="D27" s="38" t="s">
        <v>53</v>
      </c>
      <c r="E27" s="25" t="s">
        <v>70</v>
      </c>
      <c r="F27" s="38" t="s">
        <v>71</v>
      </c>
      <c r="G27" s="25">
        <f>D27*C27*F27</f>
        <v>15.199999999999999</v>
      </c>
      <c r="H27" s="25"/>
    </row>
    <row r="28" s="4" customFormat="1" ht="15" customHeight="1">
      <c r="A28" s="27" t="s">
        <v>72</v>
      </c>
      <c r="B28" s="25" t="s">
        <v>19</v>
      </c>
      <c r="C28" s="38" t="s">
        <v>105</v>
      </c>
      <c r="D28" s="38" t="s">
        <v>53</v>
      </c>
      <c r="E28" s="25" t="s">
        <v>73</v>
      </c>
      <c r="F28" s="38" t="s">
        <v>74</v>
      </c>
      <c r="G28" s="25">
        <f>D28*C28*F28</f>
        <v>15.6</v>
      </c>
      <c r="H28" s="25"/>
    </row>
    <row r="29" s="4" customFormat="1" ht="15" customHeight="1">
      <c r="A29" s="27" t="s">
        <v>75</v>
      </c>
      <c r="B29" s="25" t="s">
        <v>19</v>
      </c>
      <c r="C29" s="38" t="s">
        <v>105</v>
      </c>
      <c r="D29" s="38" t="s">
        <v>53</v>
      </c>
      <c r="E29" s="25" t="s">
        <v>73</v>
      </c>
      <c r="F29" s="38" t="s">
        <v>76</v>
      </c>
      <c r="G29" s="25">
        <f>D29*C29*F29</f>
        <v>6.7999999999999998</v>
      </c>
      <c r="H29" s="25"/>
    </row>
    <row r="30" s="4" customFormat="1" ht="15" customHeight="1">
      <c r="A30" s="39"/>
      <c r="B30" s="28"/>
      <c r="C30" s="28"/>
      <c r="D30" s="28"/>
      <c r="E30" s="28"/>
      <c r="F30" s="28"/>
      <c r="G30" s="25"/>
      <c r="H30" s="25"/>
    </row>
    <row r="31" s="4" customFormat="1" ht="15" customHeight="1">
      <c r="A31" s="40" t="s">
        <v>77</v>
      </c>
      <c r="B31" s="41"/>
      <c r="C31" s="41"/>
      <c r="D31" s="41"/>
      <c r="E31" s="41"/>
      <c r="F31" s="42"/>
      <c r="G31" s="46">
        <f>SUM(G27:G30)</f>
        <v>37.599999999999994</v>
      </c>
      <c r="H31" s="47"/>
    </row>
    <row r="32" s="4" customFormat="1" ht="15" customHeight="1">
      <c r="A32" s="48" t="s">
        <v>78</v>
      </c>
      <c r="B32" s="49" t="s">
        <v>79</v>
      </c>
      <c r="C32" s="50"/>
      <c r="D32" s="50"/>
      <c r="E32" s="50"/>
      <c r="F32" s="51"/>
      <c r="G32" s="51">
        <f>G31+G24+G20</f>
        <v>294.28999999999996</v>
      </c>
      <c r="H32" s="52"/>
    </row>
    <row r="33" s="4" customFormat="1" ht="15" customHeight="1">
      <c r="A33" s="53" t="s">
        <v>80</v>
      </c>
      <c r="B33" s="54"/>
      <c r="C33" s="54"/>
      <c r="D33" s="54"/>
      <c r="E33" s="54"/>
      <c r="F33" s="54"/>
      <c r="G33" s="54"/>
      <c r="H33" s="55"/>
    </row>
    <row r="34" s="4" customFormat="1" ht="15" customHeight="1">
      <c r="A34" s="37" t="s">
        <v>44</v>
      </c>
      <c r="B34" s="25"/>
      <c r="C34" s="26" t="s">
        <v>58</v>
      </c>
      <c r="D34" s="25"/>
      <c r="E34" s="26" t="s">
        <v>48</v>
      </c>
      <c r="F34" s="26" t="s">
        <v>49</v>
      </c>
      <c r="G34" s="26" t="s">
        <v>59</v>
      </c>
      <c r="H34" s="26" t="s">
        <v>81</v>
      </c>
    </row>
    <row r="35" s="4" customFormat="1" ht="15" customHeight="1">
      <c r="A35" s="37" t="s">
        <v>82</v>
      </c>
      <c r="B35" s="25"/>
      <c r="C35" s="25">
        <f>H7</f>
        <v>5.2199999999999998</v>
      </c>
      <c r="D35" s="25"/>
      <c r="E35" s="26" t="s">
        <v>40</v>
      </c>
      <c r="F35" s="25">
        <v>8</v>
      </c>
      <c r="G35" s="25">
        <f>C35*F35</f>
        <v>41.759999999999998</v>
      </c>
      <c r="H35" s="25"/>
    </row>
    <row r="36" s="4" customFormat="1" ht="15" customHeight="1">
      <c r="A36" s="37" t="s">
        <v>83</v>
      </c>
      <c r="B36" s="25"/>
      <c r="C36" s="25">
        <f>H7</f>
        <v>5.2199999999999998</v>
      </c>
      <c r="D36" s="25"/>
      <c r="E36" s="26" t="s">
        <v>40</v>
      </c>
      <c r="F36" s="25">
        <v>8</v>
      </c>
      <c r="G36" s="25">
        <f>C36*F36</f>
        <v>41.759999999999998</v>
      </c>
      <c r="H36" s="25"/>
    </row>
    <row r="37" s="4" customFormat="1" ht="15" customHeight="1">
      <c r="A37" s="37" t="s">
        <v>84</v>
      </c>
      <c r="B37" s="25"/>
      <c r="C37" s="25">
        <f>H7</f>
        <v>5.2199999999999998</v>
      </c>
      <c r="D37" s="25"/>
      <c r="E37" s="26" t="s">
        <v>40</v>
      </c>
      <c r="F37" s="25">
        <v>2</v>
      </c>
      <c r="G37" s="25">
        <f>C37*F37</f>
        <v>10.44</v>
      </c>
      <c r="H37" s="25"/>
    </row>
    <row r="38" s="4" customFormat="1" ht="15" customHeight="1">
      <c r="A38" s="40" t="s">
        <v>85</v>
      </c>
      <c r="B38" s="41"/>
      <c r="C38" s="41"/>
      <c r="D38" s="41"/>
      <c r="E38" s="41"/>
      <c r="F38" s="42"/>
      <c r="G38" s="46">
        <f>SUM(G35:G37)</f>
        <v>93.959999999999994</v>
      </c>
      <c r="H38" s="47"/>
    </row>
    <row r="39" s="4" customFormat="1" ht="15" customHeight="1">
      <c r="A39" s="56" t="s">
        <v>86</v>
      </c>
      <c r="B39" s="57" t="s">
        <v>87</v>
      </c>
      <c r="C39" s="58"/>
      <c r="D39" s="58"/>
      <c r="E39" s="58"/>
      <c r="F39" s="59"/>
      <c r="G39" s="59">
        <f>G38+G32</f>
        <v>388.24999999999994</v>
      </c>
      <c r="H39" s="60"/>
    </row>
    <row r="40" s="4" customFormat="1" ht="15" customHeight="1">
      <c r="A40" s="61" t="s">
        <v>88</v>
      </c>
      <c r="B40" s="62"/>
      <c r="C40" s="62"/>
      <c r="D40" s="62"/>
      <c r="E40" s="62"/>
      <c r="F40" s="62"/>
      <c r="G40" s="63"/>
      <c r="H40" s="64"/>
    </row>
    <row r="41" s="4" customFormat="1" ht="15" customHeight="1">
      <c r="A41" s="65" t="s">
        <v>89</v>
      </c>
      <c r="B41" s="66" t="s">
        <v>90</v>
      </c>
      <c r="C41" s="67"/>
      <c r="D41" s="67"/>
      <c r="E41" s="67"/>
      <c r="F41" s="68"/>
      <c r="G41" s="25">
        <f>G39*0.1</f>
        <v>38.824999999999996</v>
      </c>
      <c r="H41" s="27"/>
    </row>
    <row r="42" s="4" customFormat="1" ht="15" customHeight="1">
      <c r="A42" s="65" t="s">
        <v>91</v>
      </c>
      <c r="B42" s="69" t="s">
        <v>92</v>
      </c>
      <c r="C42" s="70"/>
      <c r="D42" s="70"/>
      <c r="E42" s="70"/>
      <c r="F42" s="71"/>
      <c r="G42" s="25">
        <f>G39*0.12</f>
        <v>46.589999999999989</v>
      </c>
      <c r="H42" s="27"/>
    </row>
    <row r="43" s="4" customFormat="1" ht="15" customHeight="1">
      <c r="A43" s="72"/>
      <c r="B43" s="73"/>
      <c r="C43" s="74"/>
      <c r="D43" s="74"/>
      <c r="E43" s="74"/>
      <c r="F43" s="75"/>
      <c r="G43" s="76">
        <f>G41+G42</f>
        <v>85.414999999999992</v>
      </c>
      <c r="H43" s="72"/>
    </row>
    <row r="44" s="4" customFormat="1" ht="15" customHeight="1">
      <c r="A44" s="77" t="s">
        <v>93</v>
      </c>
      <c r="B44" s="78"/>
      <c r="C44" s="78"/>
      <c r="D44" s="78"/>
      <c r="E44" s="78"/>
      <c r="F44" s="78"/>
      <c r="G44" s="78"/>
      <c r="H44" s="79"/>
    </row>
    <row r="45" s="4" customFormat="1" ht="15" customHeight="1">
      <c r="A45" s="80" t="s">
        <v>94</v>
      </c>
      <c r="B45" s="66" t="s">
        <v>95</v>
      </c>
      <c r="C45" s="67"/>
      <c r="D45" s="67"/>
      <c r="E45" s="67"/>
      <c r="F45" s="68"/>
      <c r="G45" s="25">
        <f>(G39+G43)*0.2</f>
        <v>94.733000000000004</v>
      </c>
      <c r="H45" s="27"/>
    </row>
    <row r="46" s="4" customFormat="1" ht="15" customHeight="1">
      <c r="A46" s="80" t="s">
        <v>96</v>
      </c>
      <c r="B46" s="66" t="s">
        <v>97</v>
      </c>
      <c r="C46" s="67"/>
      <c r="D46" s="67"/>
      <c r="E46" s="67"/>
      <c r="F46" s="68"/>
      <c r="G46" s="25">
        <f>(G39+G43+G45)*0.16</f>
        <v>90.943679999999986</v>
      </c>
      <c r="H46" s="27"/>
    </row>
    <row r="47" s="4" customFormat="1" ht="15" customHeight="1">
      <c r="A47" s="80" t="s">
        <v>98</v>
      </c>
      <c r="B47" s="81" t="s">
        <v>99</v>
      </c>
      <c r="C47" s="82"/>
      <c r="D47" s="82"/>
      <c r="E47" s="82"/>
      <c r="F47" s="83"/>
      <c r="G47" s="25">
        <f>(G39+G43+G45+G46)*0.02</f>
        <v>13.186833599999998</v>
      </c>
      <c r="H47" s="27"/>
    </row>
    <row r="48" s="6" customFormat="1" ht="15" customHeight="1">
      <c r="A48" s="84" t="s">
        <v>100</v>
      </c>
      <c r="B48" s="85"/>
      <c r="C48" s="86"/>
      <c r="D48" s="86"/>
      <c r="E48" s="86"/>
      <c r="F48" s="87"/>
      <c r="G48" s="88">
        <f>G47+G46+G45+G43+G39</f>
        <v>672.5285136</v>
      </c>
      <c r="H48" s="89"/>
    </row>
  </sheetData>
  <mergeCells count="16">
    <mergeCell ref="B45:F45"/>
    <mergeCell ref="B43:F43"/>
    <mergeCell ref="B46:F46"/>
    <mergeCell ref="B47:F47"/>
    <mergeCell ref="E11:H13"/>
    <mergeCell ref="A16:H16"/>
    <mergeCell ref="A33:H33"/>
    <mergeCell ref="A40:H40"/>
    <mergeCell ref="A44:H44"/>
    <mergeCell ref="B41:F41"/>
    <mergeCell ref="B42:F42"/>
    <mergeCell ref="A4:H4"/>
    <mergeCell ref="A5:C14"/>
    <mergeCell ref="F9:H9"/>
    <mergeCell ref="F5:H5"/>
    <mergeCell ref="A15:H15"/>
  </mergeCells>
  <printOptions horizontalCentered="1"/>
  <pageMargins left="0.25" right="0.25" top="0.25" bottom="0.25" header="0.3006944" footer="0.3006944"/>
  <pageSetup r:id="rId1" orientation="portrait"/>
  <drawing r:id="rId2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ANDY\hp</dc:creator>
  <cp:lastModifiedBy>ANDY\hp</cp:lastModifiedBy>
  <dcterms:created xsi:type="dcterms:W3CDTF">2026-04-23T09:53:34Z</dcterms:created>
  <dcterms:modified xsi:type="dcterms:W3CDTF">2026-04-23T10:03:34Z</dcterms:modified>
</cp:coreProperties>
</file>